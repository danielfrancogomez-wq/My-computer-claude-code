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Income" sheetId="2" state="visible" r:id="rId2"/>
    <sheet name="Expenses" sheetId="3" state="visible" r:id="rId3"/>
    <sheet name="Weekly Summary" sheetId="4" state="visible" r:id="rId4"/>
    <sheet name="Monthly Summary" sheetId="5" state="visible" r:id="rId5"/>
  </sheets>
  <definedNames>
    <definedName name="_xlnm._FilterDatabase" localSheetId="1" hidden="1">'Income'!$A$4:$D$154</definedName>
    <definedName name="_xlnm._FilterDatabase" localSheetId="2" hidden="1">'Expenses'!$A$4:$E$304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-mmm-yyyy"/>
    <numFmt numFmtId="166" formatCode="$#,##0.00;($#,##0.00);&quot;-&quot;"/>
    <numFmt numFmtId="167" formatCode="0.0%;(0.0%);&quot;-&quot;"/>
    <numFmt numFmtId="168" formatCode="mmmm"/>
    <numFmt numFmtId="169" formatCode="mmm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0"/>
    </font>
    <font>
      <name val="Arial"/>
      <b val="1"/>
      <color rgb="001F3864"/>
      <sz val="11"/>
    </font>
    <font>
      <name val="Arial"/>
      <b val="1"/>
      <sz val="10"/>
    </font>
    <font>
      <name val="Arial"/>
      <b val="1"/>
      <color rgb="000000FF"/>
      <sz val="10"/>
    </font>
    <font>
      <name val="Arial"/>
      <i val="1"/>
      <color rgb="00808080"/>
      <sz val="9"/>
    </font>
    <font>
      <name val="Arial"/>
      <color rgb="000000FF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1"/>
    </font>
    <font>
      <name val="Arial"/>
      <b val="1"/>
      <color rgb="001F3864"/>
      <sz val="10"/>
    </font>
    <font>
      <name val="Arial"/>
      <b val="1"/>
      <color rgb="001F3864"/>
      <sz val="12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6" fillId="0" borderId="0" pivotButton="0" quotePrefix="0" xfId="0"/>
    <xf numFmtId="0" fontId="7" fillId="2" borderId="1" pivotButton="0" quotePrefix="0" xfId="0"/>
    <xf numFmtId="0" fontId="8" fillId="0" borderId="0" applyAlignment="1" pivotButton="0" quotePrefix="0" xfId="0">
      <alignment horizontal="left"/>
    </xf>
    <xf numFmtId="0" fontId="6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165" fontId="10" fillId="4" borderId="1" pivotButton="0" quotePrefix="0" xfId="0"/>
    <xf numFmtId="0" fontId="10" fillId="4" borderId="1" pivotButton="0" quotePrefix="0" xfId="0"/>
    <xf numFmtId="166" fontId="10" fillId="4" borderId="1" pivotButton="0" quotePrefix="0" xfId="0"/>
    <xf numFmtId="165" fontId="8" fillId="0" borderId="1" pivotButton="0" quotePrefix="0" xfId="0"/>
    <xf numFmtId="0" fontId="8" fillId="0" borderId="1" pivotButton="0" quotePrefix="0" xfId="0"/>
    <xf numFmtId="166" fontId="8" fillId="0" borderId="1" pivotButton="0" quotePrefix="0" xfId="0"/>
    <xf numFmtId="0" fontId="3" fillId="0" borderId="0" applyAlignment="1" pivotButton="0" quotePrefix="0" xfId="0">
      <alignment horizontal="right"/>
    </xf>
    <xf numFmtId="166" fontId="11" fillId="5" borderId="1" pivotButton="0" quotePrefix="0" xfId="0"/>
    <xf numFmtId="0" fontId="8" fillId="0" borderId="1" applyAlignment="1" pivotButton="0" quotePrefix="0" xfId="0">
      <alignment horizontal="center"/>
    </xf>
    <xf numFmtId="166" fontId="4" fillId="0" borderId="1" pivotButton="0" quotePrefix="0" xfId="0"/>
    <xf numFmtId="167" fontId="8" fillId="0" borderId="1" pivotButton="0" quotePrefix="0" xfId="0"/>
    <xf numFmtId="0" fontId="8" fillId="4" borderId="1" applyAlignment="1" pivotButton="0" quotePrefix="0" xfId="0">
      <alignment horizontal="center"/>
    </xf>
    <xf numFmtId="165" fontId="8" fillId="4" borderId="1" pivotButton="0" quotePrefix="0" xfId="0"/>
    <xf numFmtId="166" fontId="8" fillId="4" borderId="1" pivotButton="0" quotePrefix="0" xfId="0"/>
    <xf numFmtId="166" fontId="4" fillId="4" borderId="1" pivotButton="0" quotePrefix="0" xfId="0"/>
    <xf numFmtId="167" fontId="8" fillId="4" borderId="1" pivotButton="0" quotePrefix="0" xfId="0"/>
    <xf numFmtId="0" fontId="3" fillId="5" borderId="1" applyAlignment="1" pivotButton="0" quotePrefix="0" xfId="0">
      <alignment horizontal="right"/>
    </xf>
    <xf numFmtId="0" fontId="3" fillId="5" borderId="1" pivotButton="0" quotePrefix="0" xfId="0"/>
    <xf numFmtId="166" fontId="3" fillId="5" borderId="1" pivotButton="0" quotePrefix="0" xfId="0"/>
    <xf numFmtId="167" fontId="3" fillId="5" borderId="1" pivotButton="0" quotePrefix="0" xfId="0"/>
    <xf numFmtId="168" fontId="8" fillId="0" borderId="1" pivotButton="0" quotePrefix="0" xfId="0"/>
    <xf numFmtId="168" fontId="8" fillId="4" borderId="1" pivotButton="0" quotePrefix="0" xfId="0"/>
    <xf numFmtId="0" fontId="12" fillId="0" borderId="1" applyAlignment="1" pivotButton="0" quotePrefix="0" xfId="0">
      <alignment horizontal="right"/>
    </xf>
    <xf numFmtId="0" fontId="12" fillId="0" borderId="1" pivotButton="0" quotePrefix="0" xfId="0"/>
    <xf numFmtId="166" fontId="12" fillId="0" borderId="1" pivotButton="0" quotePrefix="0" xfId="0"/>
    <xf numFmtId="167" fontId="12" fillId="0" borderId="1" pivotButton="0" quotePrefix="0" xfId="0"/>
    <xf numFmtId="0" fontId="13" fillId="0" borderId="0" pivotButton="0" quotePrefix="0" xfId="0"/>
    <xf numFmtId="0" fontId="9" fillId="3" borderId="1" applyAlignment="1" pivotButton="0" quotePrefix="0" xfId="0">
      <alignment horizontal="center" vertical="center"/>
    </xf>
    <xf numFmtId="169" fontId="9" fillId="3" borderId="1" applyAlignment="1" pivotButton="0" quotePrefix="0" xfId="0">
      <alignment horizontal="center" vertical="center"/>
    </xf>
    <xf numFmtId="0" fontId="14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14" fillId="4" borderId="1" pivotButton="0" quotePrefix="0" xfId="0"/>
    <xf numFmtId="166" fontId="0" fillId="4" borderId="1" pivotButton="0" quotePrefix="0" xfId="0"/>
    <xf numFmtId="167" fontId="0" fillId="4" borderId="1" pivotButton="0" quotePrefix="0" xfId="0"/>
    <xf numFmtId="0" fontId="12" fillId="5" borderId="1" pivotButton="0" quotePrefix="0" xfId="0"/>
    <xf numFmtId="166" fontId="12" fillId="5" borderId="1" pivotButton="0" quotePrefix="0" xfId="0"/>
    <xf numFmtId="167" fontId="1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D35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60" customWidth="1" min="4" max="4"/>
  </cols>
  <sheetData>
    <row r="2">
      <c r="B2" s="1" t="inlineStr">
        <is>
          <t>Income &amp; Expense Tracker — 2026</t>
        </is>
      </c>
    </row>
    <row r="3" ht="30" customHeight="1">
      <c r="B3" s="2" t="inlineStr">
        <is>
          <t>Set up your two income sources and your expense categories below, then log every transaction on the Income and Expenses tabs. All summaries update automatically.</t>
        </is>
      </c>
    </row>
    <row r="5">
      <c r="B5" s="3" t="inlineStr">
        <is>
          <t>1. YOUR INCOME SOURCES</t>
        </is>
      </c>
    </row>
    <row r="6">
      <c r="B6" s="4" t="inlineStr">
        <is>
          <t>Source 1</t>
        </is>
      </c>
      <c r="C6" s="5" t="inlineStr">
        <is>
          <t>Salary</t>
        </is>
      </c>
      <c r="D6" s="6" t="inlineStr">
        <is>
          <t>Rename this to your main income source (e.g. your job).</t>
        </is>
      </c>
    </row>
    <row r="7">
      <c r="B7" s="4" t="inlineStr">
        <is>
          <t>Source 2</t>
        </is>
      </c>
      <c r="C7" s="5" t="inlineStr">
        <is>
          <t>Freelance</t>
        </is>
      </c>
      <c r="D7" s="6" t="inlineStr">
        <is>
          <t>Rename this to your second income source (e.g. side business, rental).</t>
        </is>
      </c>
    </row>
    <row r="9">
      <c r="B9" s="3" t="inlineStr">
        <is>
          <t>2. YOUR EXPENSE CATEGORIES</t>
        </is>
      </c>
    </row>
    <row r="10">
      <c r="C10" s="7" t="inlineStr">
        <is>
          <t>Rent / Mortgage</t>
        </is>
      </c>
      <c r="D10" s="6" t="inlineStr">
        <is>
          <t>Edit any of these labels to suit you — the summaries follow whatever you type here.</t>
        </is>
      </c>
    </row>
    <row r="11">
      <c r="C11" s="7" t="inlineStr">
        <is>
          <t>Utilities</t>
        </is>
      </c>
    </row>
    <row r="12">
      <c r="C12" s="7" t="inlineStr">
        <is>
          <t>Groceries</t>
        </is>
      </c>
    </row>
    <row r="13">
      <c r="C13" s="7" t="inlineStr">
        <is>
          <t>Transport</t>
        </is>
      </c>
    </row>
    <row r="14">
      <c r="C14" s="7" t="inlineStr">
        <is>
          <t>Insurance</t>
        </is>
      </c>
    </row>
    <row r="15">
      <c r="C15" s="7" t="inlineStr">
        <is>
          <t>Health &amp; Medical</t>
        </is>
      </c>
    </row>
    <row r="16">
      <c r="C16" s="7" t="inlineStr">
        <is>
          <t>Dining Out</t>
        </is>
      </c>
    </row>
    <row r="17">
      <c r="C17" s="7" t="inlineStr">
        <is>
          <t>Shopping</t>
        </is>
      </c>
    </row>
    <row r="18">
      <c r="C18" s="7" t="inlineStr">
        <is>
          <t>Subscriptions</t>
        </is>
      </c>
    </row>
    <row r="19">
      <c r="C19" s="7" t="inlineStr">
        <is>
          <t>Entertainment</t>
        </is>
      </c>
    </row>
    <row r="20">
      <c r="C20" s="7" t="inlineStr">
        <is>
          <t>Travel</t>
        </is>
      </c>
    </row>
    <row r="21">
      <c r="C21" s="7" t="inlineStr">
        <is>
          <t>Debt Payments</t>
        </is>
      </c>
    </row>
    <row r="22">
      <c r="C22" s="7" t="inlineStr">
        <is>
          <t>Savings / Investments</t>
        </is>
      </c>
    </row>
    <row r="23">
      <c r="C23" s="7" t="inlineStr">
        <is>
          <t>Other</t>
        </is>
      </c>
    </row>
    <row r="25">
      <c r="B25" s="3" t="inlineStr">
        <is>
          <t>3. HOW TO USE IT</t>
        </is>
      </c>
    </row>
    <row r="26">
      <c r="B26" s="4" t="inlineStr">
        <is>
          <t>Yellow cells</t>
        </is>
      </c>
      <c r="C26" s="8" t="inlineStr">
        <is>
          <t>The only cells you edit on this tab — source names and categories.</t>
        </is>
      </c>
    </row>
    <row r="27">
      <c r="B27" s="4" t="inlineStr">
        <is>
          <t>Income tab</t>
        </is>
      </c>
      <c r="C27" s="8" t="inlineStr">
        <is>
          <t>One row per payment received: date, which source, amount.</t>
        </is>
      </c>
    </row>
    <row r="28">
      <c r="B28" s="4" t="inlineStr">
        <is>
          <t>Expenses tab</t>
        </is>
      </c>
      <c r="C28" s="8" t="inlineStr">
        <is>
          <t>One row per thing you spend: date, category, amount.</t>
        </is>
      </c>
    </row>
    <row r="29">
      <c r="B29" s="4" t="inlineStr">
        <is>
          <t>Weekly Summary</t>
        </is>
      </c>
      <c r="C29" s="8" t="inlineStr">
        <is>
          <t>Every week of the year, Monday to Sunday. Fills in by itself.</t>
        </is>
      </c>
    </row>
    <row r="30">
      <c r="B30" s="4" t="inlineStr">
        <is>
          <t>Monthly Summary</t>
        </is>
      </c>
      <c r="C30" s="8" t="inlineStr">
        <is>
          <t>Month-by-month totals plus a spend-by-category grid.</t>
        </is>
      </c>
    </row>
    <row r="31">
      <c r="B31" s="4" t="inlineStr">
        <is>
          <t>Example rows</t>
        </is>
      </c>
      <c r="C31" s="8" t="inlineStr">
        <is>
          <t>Each log tab has one grey example row — delete it once you start.</t>
        </is>
      </c>
    </row>
    <row r="32">
      <c r="B32" s="4" t="inlineStr">
        <is>
          <t>Everything else</t>
        </is>
      </c>
      <c r="C32" s="8" t="inlineStr">
        <is>
          <t>Calculated. Don't type over a formula or that row stops updating.</t>
        </is>
      </c>
    </row>
    <row r="34">
      <c r="B34" s="9" t="inlineStr">
        <is>
          <t>Assumptions: weeks run Monday–Sunday; the calendar covers 2026 (week 1 starts 29-Dec-2025); amounts are entered as positive numbers on both tabs; currency symbol is $ — change the cell format if you use another.</t>
        </is>
      </c>
    </row>
    <row r="35"/>
  </sheetData>
  <mergeCells count="2">
    <mergeCell ref="B34:D35"/>
    <mergeCell ref="B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D1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2" customWidth="1" min="3" max="3"/>
    <col width="14" customWidth="1" min="4" max="4"/>
  </cols>
  <sheetData>
    <row r="1">
      <c r="A1" s="1" t="inlineStr">
        <is>
          <t>Income Log</t>
        </is>
      </c>
    </row>
    <row r="2">
      <c r="A2" s="6" t="inlineStr">
        <is>
          <t>Log every payment you receive. Pick the source from the dropdown.</t>
        </is>
      </c>
    </row>
    <row r="4" ht="28" customHeight="1">
      <c r="A4" s="10" t="inlineStr">
        <is>
          <t>Date</t>
        </is>
      </c>
      <c r="B4" s="10" t="inlineStr">
        <is>
          <t>Source</t>
        </is>
      </c>
      <c r="C4" s="10" t="inlineStr">
        <is>
          <t>Description</t>
        </is>
      </c>
      <c r="D4" s="10" t="inlineStr">
        <is>
          <t>Amount</t>
        </is>
      </c>
    </row>
    <row r="5">
      <c r="A5" s="11" t="n">
        <v>46235</v>
      </c>
      <c r="B5" s="12" t="inlineStr">
        <is>
          <t>Salary</t>
        </is>
      </c>
      <c r="C5" s="12" t="inlineStr">
        <is>
          <t>EXAMPLE — delete this row</t>
        </is>
      </c>
      <c r="D5" s="13" t="n">
        <v>3200</v>
      </c>
    </row>
    <row r="6">
      <c r="A6" s="14" t="n"/>
      <c r="B6" s="15" t="n"/>
      <c r="C6" s="15" t="n"/>
      <c r="D6" s="16" t="n"/>
    </row>
    <row r="7">
      <c r="A7" s="14" t="n"/>
      <c r="B7" s="15" t="n"/>
      <c r="C7" s="15" t="n"/>
      <c r="D7" s="16" t="n"/>
    </row>
    <row r="8">
      <c r="A8" s="14" t="n"/>
      <c r="B8" s="15" t="n"/>
      <c r="C8" s="15" t="n"/>
      <c r="D8" s="16" t="n"/>
    </row>
    <row r="9">
      <c r="A9" s="14" t="n"/>
      <c r="B9" s="15" t="n"/>
      <c r="C9" s="15" t="n"/>
      <c r="D9" s="16" t="n"/>
    </row>
    <row r="10">
      <c r="A10" s="14" t="n"/>
      <c r="B10" s="15" t="n"/>
      <c r="C10" s="15" t="n"/>
      <c r="D10" s="16" t="n"/>
    </row>
    <row r="11">
      <c r="A11" s="14" t="n"/>
      <c r="B11" s="15" t="n"/>
      <c r="C11" s="15" t="n"/>
      <c r="D11" s="16" t="n"/>
    </row>
    <row r="12">
      <c r="A12" s="14" t="n"/>
      <c r="B12" s="15" t="n"/>
      <c r="C12" s="15" t="n"/>
      <c r="D12" s="16" t="n"/>
    </row>
    <row r="13">
      <c r="A13" s="14" t="n"/>
      <c r="B13" s="15" t="n"/>
      <c r="C13" s="15" t="n"/>
      <c r="D13" s="16" t="n"/>
    </row>
    <row r="14">
      <c r="A14" s="14" t="n"/>
      <c r="B14" s="15" t="n"/>
      <c r="C14" s="15" t="n"/>
      <c r="D14" s="16" t="n"/>
    </row>
    <row r="15">
      <c r="A15" s="14" t="n"/>
      <c r="B15" s="15" t="n"/>
      <c r="C15" s="15" t="n"/>
      <c r="D15" s="16" t="n"/>
    </row>
    <row r="16">
      <c r="A16" s="14" t="n"/>
      <c r="B16" s="15" t="n"/>
      <c r="C16" s="15" t="n"/>
      <c r="D16" s="16" t="n"/>
    </row>
    <row r="17">
      <c r="A17" s="14" t="n"/>
      <c r="B17" s="15" t="n"/>
      <c r="C17" s="15" t="n"/>
      <c r="D17" s="16" t="n"/>
    </row>
    <row r="18">
      <c r="A18" s="14" t="n"/>
      <c r="B18" s="15" t="n"/>
      <c r="C18" s="15" t="n"/>
      <c r="D18" s="16" t="n"/>
    </row>
    <row r="19">
      <c r="A19" s="14" t="n"/>
      <c r="B19" s="15" t="n"/>
      <c r="C19" s="15" t="n"/>
      <c r="D19" s="16" t="n"/>
    </row>
    <row r="20">
      <c r="A20" s="14" t="n"/>
      <c r="B20" s="15" t="n"/>
      <c r="C20" s="15" t="n"/>
      <c r="D20" s="16" t="n"/>
    </row>
    <row r="21">
      <c r="A21" s="14" t="n"/>
      <c r="B21" s="15" t="n"/>
      <c r="C21" s="15" t="n"/>
      <c r="D21" s="16" t="n"/>
    </row>
    <row r="22">
      <c r="A22" s="14" t="n"/>
      <c r="B22" s="15" t="n"/>
      <c r="C22" s="15" t="n"/>
      <c r="D22" s="16" t="n"/>
    </row>
    <row r="23">
      <c r="A23" s="14" t="n"/>
      <c r="B23" s="15" t="n"/>
      <c r="C23" s="15" t="n"/>
      <c r="D23" s="16" t="n"/>
    </row>
    <row r="24">
      <c r="A24" s="14" t="n"/>
      <c r="B24" s="15" t="n"/>
      <c r="C24" s="15" t="n"/>
      <c r="D24" s="16" t="n"/>
    </row>
    <row r="25">
      <c r="A25" s="14" t="n"/>
      <c r="B25" s="15" t="n"/>
      <c r="C25" s="15" t="n"/>
      <c r="D25" s="16" t="n"/>
    </row>
    <row r="26">
      <c r="A26" s="14" t="n"/>
      <c r="B26" s="15" t="n"/>
      <c r="C26" s="15" t="n"/>
      <c r="D26" s="16" t="n"/>
    </row>
    <row r="27">
      <c r="A27" s="14" t="n"/>
      <c r="B27" s="15" t="n"/>
      <c r="C27" s="15" t="n"/>
      <c r="D27" s="16" t="n"/>
    </row>
    <row r="28">
      <c r="A28" s="14" t="n"/>
      <c r="B28" s="15" t="n"/>
      <c r="C28" s="15" t="n"/>
      <c r="D28" s="16" t="n"/>
    </row>
    <row r="29">
      <c r="A29" s="14" t="n"/>
      <c r="B29" s="15" t="n"/>
      <c r="C29" s="15" t="n"/>
      <c r="D29" s="16" t="n"/>
    </row>
    <row r="30">
      <c r="A30" s="14" t="n"/>
      <c r="B30" s="15" t="n"/>
      <c r="C30" s="15" t="n"/>
      <c r="D30" s="16" t="n"/>
    </row>
    <row r="31">
      <c r="A31" s="14" t="n"/>
      <c r="B31" s="15" t="n"/>
      <c r="C31" s="15" t="n"/>
      <c r="D31" s="16" t="n"/>
    </row>
    <row r="32">
      <c r="A32" s="14" t="n"/>
      <c r="B32" s="15" t="n"/>
      <c r="C32" s="15" t="n"/>
      <c r="D32" s="16" t="n"/>
    </row>
    <row r="33">
      <c r="A33" s="14" t="n"/>
      <c r="B33" s="15" t="n"/>
      <c r="C33" s="15" t="n"/>
      <c r="D33" s="16" t="n"/>
    </row>
    <row r="34">
      <c r="A34" s="14" t="n"/>
      <c r="B34" s="15" t="n"/>
      <c r="C34" s="15" t="n"/>
      <c r="D34" s="16" t="n"/>
    </row>
    <row r="35">
      <c r="A35" s="14" t="n"/>
      <c r="B35" s="15" t="n"/>
      <c r="C35" s="15" t="n"/>
      <c r="D35" s="16" t="n"/>
    </row>
    <row r="36">
      <c r="A36" s="14" t="n"/>
      <c r="B36" s="15" t="n"/>
      <c r="C36" s="15" t="n"/>
      <c r="D36" s="16" t="n"/>
    </row>
    <row r="37">
      <c r="A37" s="14" t="n"/>
      <c r="B37" s="15" t="n"/>
      <c r="C37" s="15" t="n"/>
      <c r="D37" s="16" t="n"/>
    </row>
    <row r="38">
      <c r="A38" s="14" t="n"/>
      <c r="B38" s="15" t="n"/>
      <c r="C38" s="15" t="n"/>
      <c r="D38" s="16" t="n"/>
    </row>
    <row r="39">
      <c r="A39" s="14" t="n"/>
      <c r="B39" s="15" t="n"/>
      <c r="C39" s="15" t="n"/>
      <c r="D39" s="16" t="n"/>
    </row>
    <row r="40">
      <c r="A40" s="14" t="n"/>
      <c r="B40" s="15" t="n"/>
      <c r="C40" s="15" t="n"/>
      <c r="D40" s="16" t="n"/>
    </row>
    <row r="41">
      <c r="A41" s="14" t="n"/>
      <c r="B41" s="15" t="n"/>
      <c r="C41" s="15" t="n"/>
      <c r="D41" s="16" t="n"/>
    </row>
    <row r="42">
      <c r="A42" s="14" t="n"/>
      <c r="B42" s="15" t="n"/>
      <c r="C42" s="15" t="n"/>
      <c r="D42" s="16" t="n"/>
    </row>
    <row r="43">
      <c r="A43" s="14" t="n"/>
      <c r="B43" s="15" t="n"/>
      <c r="C43" s="15" t="n"/>
      <c r="D43" s="16" t="n"/>
    </row>
    <row r="44">
      <c r="A44" s="14" t="n"/>
      <c r="B44" s="15" t="n"/>
      <c r="C44" s="15" t="n"/>
      <c r="D44" s="16" t="n"/>
    </row>
    <row r="45">
      <c r="A45" s="14" t="n"/>
      <c r="B45" s="15" t="n"/>
      <c r="C45" s="15" t="n"/>
      <c r="D45" s="16" t="n"/>
    </row>
    <row r="46">
      <c r="A46" s="14" t="n"/>
      <c r="B46" s="15" t="n"/>
      <c r="C46" s="15" t="n"/>
      <c r="D46" s="16" t="n"/>
    </row>
    <row r="47">
      <c r="A47" s="14" t="n"/>
      <c r="B47" s="15" t="n"/>
      <c r="C47" s="15" t="n"/>
      <c r="D47" s="16" t="n"/>
    </row>
    <row r="48">
      <c r="A48" s="14" t="n"/>
      <c r="B48" s="15" t="n"/>
      <c r="C48" s="15" t="n"/>
      <c r="D48" s="16" t="n"/>
    </row>
    <row r="49">
      <c r="A49" s="14" t="n"/>
      <c r="B49" s="15" t="n"/>
      <c r="C49" s="15" t="n"/>
      <c r="D49" s="16" t="n"/>
    </row>
    <row r="50">
      <c r="A50" s="14" t="n"/>
      <c r="B50" s="15" t="n"/>
      <c r="C50" s="15" t="n"/>
      <c r="D50" s="16" t="n"/>
    </row>
    <row r="51">
      <c r="A51" s="14" t="n"/>
      <c r="B51" s="15" t="n"/>
      <c r="C51" s="15" t="n"/>
      <c r="D51" s="16" t="n"/>
    </row>
    <row r="52">
      <c r="A52" s="14" t="n"/>
      <c r="B52" s="15" t="n"/>
      <c r="C52" s="15" t="n"/>
      <c r="D52" s="16" t="n"/>
    </row>
    <row r="53">
      <c r="A53" s="14" t="n"/>
      <c r="B53" s="15" t="n"/>
      <c r="C53" s="15" t="n"/>
      <c r="D53" s="16" t="n"/>
    </row>
    <row r="54">
      <c r="A54" s="14" t="n"/>
      <c r="B54" s="15" t="n"/>
      <c r="C54" s="15" t="n"/>
      <c r="D54" s="16" t="n"/>
    </row>
    <row r="55">
      <c r="A55" s="14" t="n"/>
      <c r="B55" s="15" t="n"/>
      <c r="C55" s="15" t="n"/>
      <c r="D55" s="16" t="n"/>
    </row>
    <row r="56">
      <c r="A56" s="14" t="n"/>
      <c r="B56" s="15" t="n"/>
      <c r="C56" s="15" t="n"/>
      <c r="D56" s="16" t="n"/>
    </row>
    <row r="57">
      <c r="A57" s="14" t="n"/>
      <c r="B57" s="15" t="n"/>
      <c r="C57" s="15" t="n"/>
      <c r="D57" s="16" t="n"/>
    </row>
    <row r="58">
      <c r="A58" s="14" t="n"/>
      <c r="B58" s="15" t="n"/>
      <c r="C58" s="15" t="n"/>
      <c r="D58" s="16" t="n"/>
    </row>
    <row r="59">
      <c r="A59" s="14" t="n"/>
      <c r="B59" s="15" t="n"/>
      <c r="C59" s="15" t="n"/>
      <c r="D59" s="16" t="n"/>
    </row>
    <row r="60">
      <c r="A60" s="14" t="n"/>
      <c r="B60" s="15" t="n"/>
      <c r="C60" s="15" t="n"/>
      <c r="D60" s="16" t="n"/>
    </row>
    <row r="61">
      <c r="A61" s="14" t="n"/>
      <c r="B61" s="15" t="n"/>
      <c r="C61" s="15" t="n"/>
      <c r="D61" s="16" t="n"/>
    </row>
    <row r="62">
      <c r="A62" s="14" t="n"/>
      <c r="B62" s="15" t="n"/>
      <c r="C62" s="15" t="n"/>
      <c r="D62" s="16" t="n"/>
    </row>
    <row r="63">
      <c r="A63" s="14" t="n"/>
      <c r="B63" s="15" t="n"/>
      <c r="C63" s="15" t="n"/>
      <c r="D63" s="16" t="n"/>
    </row>
    <row r="64">
      <c r="A64" s="14" t="n"/>
      <c r="B64" s="15" t="n"/>
      <c r="C64" s="15" t="n"/>
      <c r="D64" s="16" t="n"/>
    </row>
    <row r="65">
      <c r="A65" s="14" t="n"/>
      <c r="B65" s="15" t="n"/>
      <c r="C65" s="15" t="n"/>
      <c r="D65" s="16" t="n"/>
    </row>
    <row r="66">
      <c r="A66" s="14" t="n"/>
      <c r="B66" s="15" t="n"/>
      <c r="C66" s="15" t="n"/>
      <c r="D66" s="16" t="n"/>
    </row>
    <row r="67">
      <c r="A67" s="14" t="n"/>
      <c r="B67" s="15" t="n"/>
      <c r="C67" s="15" t="n"/>
      <c r="D67" s="16" t="n"/>
    </row>
    <row r="68">
      <c r="A68" s="14" t="n"/>
      <c r="B68" s="15" t="n"/>
      <c r="C68" s="15" t="n"/>
      <c r="D68" s="16" t="n"/>
    </row>
    <row r="69">
      <c r="A69" s="14" t="n"/>
      <c r="B69" s="15" t="n"/>
      <c r="C69" s="15" t="n"/>
      <c r="D69" s="16" t="n"/>
    </row>
    <row r="70">
      <c r="A70" s="14" t="n"/>
      <c r="B70" s="15" t="n"/>
      <c r="C70" s="15" t="n"/>
      <c r="D70" s="16" t="n"/>
    </row>
    <row r="71">
      <c r="A71" s="14" t="n"/>
      <c r="B71" s="15" t="n"/>
      <c r="C71" s="15" t="n"/>
      <c r="D71" s="16" t="n"/>
    </row>
    <row r="72">
      <c r="A72" s="14" t="n"/>
      <c r="B72" s="15" t="n"/>
      <c r="C72" s="15" t="n"/>
      <c r="D72" s="16" t="n"/>
    </row>
    <row r="73">
      <c r="A73" s="14" t="n"/>
      <c r="B73" s="15" t="n"/>
      <c r="C73" s="15" t="n"/>
      <c r="D73" s="16" t="n"/>
    </row>
    <row r="74">
      <c r="A74" s="14" t="n"/>
      <c r="B74" s="15" t="n"/>
      <c r="C74" s="15" t="n"/>
      <c r="D74" s="16" t="n"/>
    </row>
    <row r="75">
      <c r="A75" s="14" t="n"/>
      <c r="B75" s="15" t="n"/>
      <c r="C75" s="15" t="n"/>
      <c r="D75" s="16" t="n"/>
    </row>
    <row r="76">
      <c r="A76" s="14" t="n"/>
      <c r="B76" s="15" t="n"/>
      <c r="C76" s="15" t="n"/>
      <c r="D76" s="16" t="n"/>
    </row>
    <row r="77">
      <c r="A77" s="14" t="n"/>
      <c r="B77" s="15" t="n"/>
      <c r="C77" s="15" t="n"/>
      <c r="D77" s="16" t="n"/>
    </row>
    <row r="78">
      <c r="A78" s="14" t="n"/>
      <c r="B78" s="15" t="n"/>
      <c r="C78" s="15" t="n"/>
      <c r="D78" s="16" t="n"/>
    </row>
    <row r="79">
      <c r="A79" s="14" t="n"/>
      <c r="B79" s="15" t="n"/>
      <c r="C79" s="15" t="n"/>
      <c r="D79" s="16" t="n"/>
    </row>
    <row r="80">
      <c r="A80" s="14" t="n"/>
      <c r="B80" s="15" t="n"/>
      <c r="C80" s="15" t="n"/>
      <c r="D80" s="16" t="n"/>
    </row>
    <row r="81">
      <c r="A81" s="14" t="n"/>
      <c r="B81" s="15" t="n"/>
      <c r="C81" s="15" t="n"/>
      <c r="D81" s="16" t="n"/>
    </row>
    <row r="82">
      <c r="A82" s="14" t="n"/>
      <c r="B82" s="15" t="n"/>
      <c r="C82" s="15" t="n"/>
      <c r="D82" s="16" t="n"/>
    </row>
    <row r="83">
      <c r="A83" s="14" t="n"/>
      <c r="B83" s="15" t="n"/>
      <c r="C83" s="15" t="n"/>
      <c r="D83" s="16" t="n"/>
    </row>
    <row r="84">
      <c r="A84" s="14" t="n"/>
      <c r="B84" s="15" t="n"/>
      <c r="C84" s="15" t="n"/>
      <c r="D84" s="16" t="n"/>
    </row>
    <row r="85">
      <c r="A85" s="14" t="n"/>
      <c r="B85" s="15" t="n"/>
      <c r="C85" s="15" t="n"/>
      <c r="D85" s="16" t="n"/>
    </row>
    <row r="86">
      <c r="A86" s="14" t="n"/>
      <c r="B86" s="15" t="n"/>
      <c r="C86" s="15" t="n"/>
      <c r="D86" s="16" t="n"/>
    </row>
    <row r="87">
      <c r="A87" s="14" t="n"/>
      <c r="B87" s="15" t="n"/>
      <c r="C87" s="15" t="n"/>
      <c r="D87" s="16" t="n"/>
    </row>
    <row r="88">
      <c r="A88" s="14" t="n"/>
      <c r="B88" s="15" t="n"/>
      <c r="C88" s="15" t="n"/>
      <c r="D88" s="16" t="n"/>
    </row>
    <row r="89">
      <c r="A89" s="14" t="n"/>
      <c r="B89" s="15" t="n"/>
      <c r="C89" s="15" t="n"/>
      <c r="D89" s="16" t="n"/>
    </row>
    <row r="90">
      <c r="A90" s="14" t="n"/>
      <c r="B90" s="15" t="n"/>
      <c r="C90" s="15" t="n"/>
      <c r="D90" s="16" t="n"/>
    </row>
    <row r="91">
      <c r="A91" s="14" t="n"/>
      <c r="B91" s="15" t="n"/>
      <c r="C91" s="15" t="n"/>
      <c r="D91" s="16" t="n"/>
    </row>
    <row r="92">
      <c r="A92" s="14" t="n"/>
      <c r="B92" s="15" t="n"/>
      <c r="C92" s="15" t="n"/>
      <c r="D92" s="16" t="n"/>
    </row>
    <row r="93">
      <c r="A93" s="14" t="n"/>
      <c r="B93" s="15" t="n"/>
      <c r="C93" s="15" t="n"/>
      <c r="D93" s="16" t="n"/>
    </row>
    <row r="94">
      <c r="A94" s="14" t="n"/>
      <c r="B94" s="15" t="n"/>
      <c r="C94" s="15" t="n"/>
      <c r="D94" s="16" t="n"/>
    </row>
    <row r="95">
      <c r="A95" s="14" t="n"/>
      <c r="B95" s="15" t="n"/>
      <c r="C95" s="15" t="n"/>
      <c r="D95" s="16" t="n"/>
    </row>
    <row r="96">
      <c r="A96" s="14" t="n"/>
      <c r="B96" s="15" t="n"/>
      <c r="C96" s="15" t="n"/>
      <c r="D96" s="16" t="n"/>
    </row>
    <row r="97">
      <c r="A97" s="14" t="n"/>
      <c r="B97" s="15" t="n"/>
      <c r="C97" s="15" t="n"/>
      <c r="D97" s="16" t="n"/>
    </row>
    <row r="98">
      <c r="A98" s="14" t="n"/>
      <c r="B98" s="15" t="n"/>
      <c r="C98" s="15" t="n"/>
      <c r="D98" s="16" t="n"/>
    </row>
    <row r="99">
      <c r="A99" s="14" t="n"/>
      <c r="B99" s="15" t="n"/>
      <c r="C99" s="15" t="n"/>
      <c r="D99" s="16" t="n"/>
    </row>
    <row r="100">
      <c r="A100" s="14" t="n"/>
      <c r="B100" s="15" t="n"/>
      <c r="C100" s="15" t="n"/>
      <c r="D100" s="16" t="n"/>
    </row>
    <row r="101">
      <c r="A101" s="14" t="n"/>
      <c r="B101" s="15" t="n"/>
      <c r="C101" s="15" t="n"/>
      <c r="D101" s="16" t="n"/>
    </row>
    <row r="102">
      <c r="A102" s="14" t="n"/>
      <c r="B102" s="15" t="n"/>
      <c r="C102" s="15" t="n"/>
      <c r="D102" s="16" t="n"/>
    </row>
    <row r="103">
      <c r="A103" s="14" t="n"/>
      <c r="B103" s="15" t="n"/>
      <c r="C103" s="15" t="n"/>
      <c r="D103" s="16" t="n"/>
    </row>
    <row r="104">
      <c r="A104" s="14" t="n"/>
      <c r="B104" s="15" t="n"/>
      <c r="C104" s="15" t="n"/>
      <c r="D104" s="16" t="n"/>
    </row>
    <row r="105">
      <c r="A105" s="14" t="n"/>
      <c r="B105" s="15" t="n"/>
      <c r="C105" s="15" t="n"/>
      <c r="D105" s="16" t="n"/>
    </row>
    <row r="106">
      <c r="A106" s="14" t="n"/>
      <c r="B106" s="15" t="n"/>
      <c r="C106" s="15" t="n"/>
      <c r="D106" s="16" t="n"/>
    </row>
    <row r="107">
      <c r="A107" s="14" t="n"/>
      <c r="B107" s="15" t="n"/>
      <c r="C107" s="15" t="n"/>
      <c r="D107" s="16" t="n"/>
    </row>
    <row r="108">
      <c r="A108" s="14" t="n"/>
      <c r="B108" s="15" t="n"/>
      <c r="C108" s="15" t="n"/>
      <c r="D108" s="16" t="n"/>
    </row>
    <row r="109">
      <c r="A109" s="14" t="n"/>
      <c r="B109" s="15" t="n"/>
      <c r="C109" s="15" t="n"/>
      <c r="D109" s="16" t="n"/>
    </row>
    <row r="110">
      <c r="A110" s="14" t="n"/>
      <c r="B110" s="15" t="n"/>
      <c r="C110" s="15" t="n"/>
      <c r="D110" s="16" t="n"/>
    </row>
    <row r="111">
      <c r="A111" s="14" t="n"/>
      <c r="B111" s="15" t="n"/>
      <c r="C111" s="15" t="n"/>
      <c r="D111" s="16" t="n"/>
    </row>
    <row r="112">
      <c r="A112" s="14" t="n"/>
      <c r="B112" s="15" t="n"/>
      <c r="C112" s="15" t="n"/>
      <c r="D112" s="16" t="n"/>
    </row>
    <row r="113">
      <c r="A113" s="14" t="n"/>
      <c r="B113" s="15" t="n"/>
      <c r="C113" s="15" t="n"/>
      <c r="D113" s="16" t="n"/>
    </row>
    <row r="114">
      <c r="A114" s="14" t="n"/>
      <c r="B114" s="15" t="n"/>
      <c r="C114" s="15" t="n"/>
      <c r="D114" s="16" t="n"/>
    </row>
    <row r="115">
      <c r="A115" s="14" t="n"/>
      <c r="B115" s="15" t="n"/>
      <c r="C115" s="15" t="n"/>
      <c r="D115" s="16" t="n"/>
    </row>
    <row r="116">
      <c r="A116" s="14" t="n"/>
      <c r="B116" s="15" t="n"/>
      <c r="C116" s="15" t="n"/>
      <c r="D116" s="16" t="n"/>
    </row>
    <row r="117">
      <c r="A117" s="14" t="n"/>
      <c r="B117" s="15" t="n"/>
      <c r="C117" s="15" t="n"/>
      <c r="D117" s="16" t="n"/>
    </row>
    <row r="118">
      <c r="A118" s="14" t="n"/>
      <c r="B118" s="15" t="n"/>
      <c r="C118" s="15" t="n"/>
      <c r="D118" s="16" t="n"/>
    </row>
    <row r="119">
      <c r="A119" s="14" t="n"/>
      <c r="B119" s="15" t="n"/>
      <c r="C119" s="15" t="n"/>
      <c r="D119" s="16" t="n"/>
    </row>
    <row r="120">
      <c r="A120" s="14" t="n"/>
      <c r="B120" s="15" t="n"/>
      <c r="C120" s="15" t="n"/>
      <c r="D120" s="16" t="n"/>
    </row>
    <row r="121">
      <c r="A121" s="14" t="n"/>
      <c r="B121" s="15" t="n"/>
      <c r="C121" s="15" t="n"/>
      <c r="D121" s="16" t="n"/>
    </row>
    <row r="122">
      <c r="A122" s="14" t="n"/>
      <c r="B122" s="15" t="n"/>
      <c r="C122" s="15" t="n"/>
      <c r="D122" s="16" t="n"/>
    </row>
    <row r="123">
      <c r="A123" s="14" t="n"/>
      <c r="B123" s="15" t="n"/>
      <c r="C123" s="15" t="n"/>
      <c r="D123" s="16" t="n"/>
    </row>
    <row r="124">
      <c r="A124" s="14" t="n"/>
      <c r="B124" s="15" t="n"/>
      <c r="C124" s="15" t="n"/>
      <c r="D124" s="16" t="n"/>
    </row>
    <row r="125">
      <c r="A125" s="14" t="n"/>
      <c r="B125" s="15" t="n"/>
      <c r="C125" s="15" t="n"/>
      <c r="D125" s="16" t="n"/>
    </row>
    <row r="126">
      <c r="A126" s="14" t="n"/>
      <c r="B126" s="15" t="n"/>
      <c r="C126" s="15" t="n"/>
      <c r="D126" s="16" t="n"/>
    </row>
    <row r="127">
      <c r="A127" s="14" t="n"/>
      <c r="B127" s="15" t="n"/>
      <c r="C127" s="15" t="n"/>
      <c r="D127" s="16" t="n"/>
    </row>
    <row r="128">
      <c r="A128" s="14" t="n"/>
      <c r="B128" s="15" t="n"/>
      <c r="C128" s="15" t="n"/>
      <c r="D128" s="16" t="n"/>
    </row>
    <row r="129">
      <c r="A129" s="14" t="n"/>
      <c r="B129" s="15" t="n"/>
      <c r="C129" s="15" t="n"/>
      <c r="D129" s="16" t="n"/>
    </row>
    <row r="130">
      <c r="A130" s="14" t="n"/>
      <c r="B130" s="15" t="n"/>
      <c r="C130" s="15" t="n"/>
      <c r="D130" s="16" t="n"/>
    </row>
    <row r="131">
      <c r="A131" s="14" t="n"/>
      <c r="B131" s="15" t="n"/>
      <c r="C131" s="15" t="n"/>
      <c r="D131" s="16" t="n"/>
    </row>
    <row r="132">
      <c r="A132" s="14" t="n"/>
      <c r="B132" s="15" t="n"/>
      <c r="C132" s="15" t="n"/>
      <c r="D132" s="16" t="n"/>
    </row>
    <row r="133">
      <c r="A133" s="14" t="n"/>
      <c r="B133" s="15" t="n"/>
      <c r="C133" s="15" t="n"/>
      <c r="D133" s="16" t="n"/>
    </row>
    <row r="134">
      <c r="A134" s="14" t="n"/>
      <c r="B134" s="15" t="n"/>
      <c r="C134" s="15" t="n"/>
      <c r="D134" s="16" t="n"/>
    </row>
    <row r="135">
      <c r="A135" s="14" t="n"/>
      <c r="B135" s="15" t="n"/>
      <c r="C135" s="15" t="n"/>
      <c r="D135" s="16" t="n"/>
    </row>
    <row r="136">
      <c r="A136" s="14" t="n"/>
      <c r="B136" s="15" t="n"/>
      <c r="C136" s="15" t="n"/>
      <c r="D136" s="16" t="n"/>
    </row>
    <row r="137">
      <c r="A137" s="14" t="n"/>
      <c r="B137" s="15" t="n"/>
      <c r="C137" s="15" t="n"/>
      <c r="D137" s="16" t="n"/>
    </row>
    <row r="138">
      <c r="A138" s="14" t="n"/>
      <c r="B138" s="15" t="n"/>
      <c r="C138" s="15" t="n"/>
      <c r="D138" s="16" t="n"/>
    </row>
    <row r="139">
      <c r="A139" s="14" t="n"/>
      <c r="B139" s="15" t="n"/>
      <c r="C139" s="15" t="n"/>
      <c r="D139" s="16" t="n"/>
    </row>
    <row r="140">
      <c r="A140" s="14" t="n"/>
      <c r="B140" s="15" t="n"/>
      <c r="C140" s="15" t="n"/>
      <c r="D140" s="16" t="n"/>
    </row>
    <row r="141">
      <c r="A141" s="14" t="n"/>
      <c r="B141" s="15" t="n"/>
      <c r="C141" s="15" t="n"/>
      <c r="D141" s="16" t="n"/>
    </row>
    <row r="142">
      <c r="A142" s="14" t="n"/>
      <c r="B142" s="15" t="n"/>
      <c r="C142" s="15" t="n"/>
      <c r="D142" s="16" t="n"/>
    </row>
    <row r="143">
      <c r="A143" s="14" t="n"/>
      <c r="B143" s="15" t="n"/>
      <c r="C143" s="15" t="n"/>
      <c r="D143" s="16" t="n"/>
    </row>
    <row r="144">
      <c r="A144" s="14" t="n"/>
      <c r="B144" s="15" t="n"/>
      <c r="C144" s="15" t="n"/>
      <c r="D144" s="16" t="n"/>
    </row>
    <row r="145">
      <c r="A145" s="14" t="n"/>
      <c r="B145" s="15" t="n"/>
      <c r="C145" s="15" t="n"/>
      <c r="D145" s="16" t="n"/>
    </row>
    <row r="146">
      <c r="A146" s="14" t="n"/>
      <c r="B146" s="15" t="n"/>
      <c r="C146" s="15" t="n"/>
      <c r="D146" s="16" t="n"/>
    </row>
    <row r="147">
      <c r="A147" s="14" t="n"/>
      <c r="B147" s="15" t="n"/>
      <c r="C147" s="15" t="n"/>
      <c r="D147" s="16" t="n"/>
    </row>
    <row r="148">
      <c r="A148" s="14" t="n"/>
      <c r="B148" s="15" t="n"/>
      <c r="C148" s="15" t="n"/>
      <c r="D148" s="16" t="n"/>
    </row>
    <row r="149">
      <c r="A149" s="14" t="n"/>
      <c r="B149" s="15" t="n"/>
      <c r="C149" s="15" t="n"/>
      <c r="D149" s="16" t="n"/>
    </row>
    <row r="150">
      <c r="A150" s="14" t="n"/>
      <c r="B150" s="15" t="n"/>
      <c r="C150" s="15" t="n"/>
      <c r="D150" s="16" t="n"/>
    </row>
    <row r="151">
      <c r="A151" s="14" t="n"/>
      <c r="B151" s="15" t="n"/>
      <c r="C151" s="15" t="n"/>
      <c r="D151" s="16" t="n"/>
    </row>
    <row r="152">
      <c r="A152" s="14" t="n"/>
      <c r="B152" s="15" t="n"/>
      <c r="C152" s="15" t="n"/>
      <c r="D152" s="16" t="n"/>
    </row>
    <row r="153">
      <c r="A153" s="14" t="n"/>
      <c r="B153" s="15" t="n"/>
      <c r="C153" s="15" t="n"/>
      <c r="D153" s="16" t="n"/>
    </row>
    <row r="154">
      <c r="A154" s="14" t="n"/>
      <c r="B154" s="15" t="n"/>
      <c r="C154" s="15" t="n"/>
      <c r="D154" s="16" t="n"/>
    </row>
    <row r="156">
      <c r="C156" s="17" t="inlineStr">
        <is>
          <t>TOTAL LOGGED</t>
        </is>
      </c>
      <c r="D156" s="18">
        <f>SUM(D5:D154)</f>
        <v/>
      </c>
    </row>
  </sheetData>
  <autoFilter ref="A4:D154"/>
  <dataValidations count="1">
    <dataValidation sqref="B5:B154" showDropDown="0" showInputMessage="0" showErrorMessage="0" allowBlank="1" errorTitle="Unknown source" error="Pick one of the two income sources set up on the Start Here tab." type="list">
      <formula1>='Start Here'!$C$6:$C$7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E3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14" customWidth="1" min="4" max="4"/>
    <col width="16" customWidth="1" min="5" max="5"/>
  </cols>
  <sheetData>
    <row r="1">
      <c r="A1" s="1" t="inlineStr">
        <is>
          <t>Expense Log</t>
        </is>
      </c>
    </row>
    <row r="2">
      <c r="A2" s="6" t="inlineStr">
        <is>
          <t>Log every thing you spend. Pick the category from the dropdown.</t>
        </is>
      </c>
    </row>
    <row r="4" ht="28" customHeight="1">
      <c r="A4" s="10" t="inlineStr">
        <is>
          <t>Date</t>
        </is>
      </c>
      <c r="B4" s="10" t="inlineStr">
        <is>
          <t>Category</t>
        </is>
      </c>
      <c r="C4" s="10" t="inlineStr">
        <is>
          <t>Description</t>
        </is>
      </c>
      <c r="D4" s="10" t="inlineStr">
        <is>
          <t>Amount</t>
        </is>
      </c>
      <c r="E4" s="10" t="inlineStr">
        <is>
          <t>Paid With</t>
        </is>
      </c>
    </row>
    <row r="5">
      <c r="A5" s="11" t="n">
        <v>46237</v>
      </c>
      <c r="B5" s="12" t="inlineStr">
        <is>
          <t>Groceries</t>
        </is>
      </c>
      <c r="C5" s="12" t="inlineStr">
        <is>
          <t>EXAMPLE — delete this row</t>
        </is>
      </c>
      <c r="D5" s="13" t="n">
        <v>84.5</v>
      </c>
      <c r="E5" s="12" t="inlineStr">
        <is>
          <t>Debit card</t>
        </is>
      </c>
    </row>
    <row r="6">
      <c r="A6" s="14" t="n"/>
      <c r="B6" s="15" t="n"/>
      <c r="C6" s="15" t="n"/>
      <c r="D6" s="16" t="n"/>
      <c r="E6" s="15" t="n"/>
    </row>
    <row r="7">
      <c r="A7" s="14" t="n"/>
      <c r="B7" s="15" t="n"/>
      <c r="C7" s="15" t="n"/>
      <c r="D7" s="16" t="n"/>
      <c r="E7" s="15" t="n"/>
    </row>
    <row r="8">
      <c r="A8" s="14" t="n"/>
      <c r="B8" s="15" t="n"/>
      <c r="C8" s="15" t="n"/>
      <c r="D8" s="16" t="n"/>
      <c r="E8" s="15" t="n"/>
    </row>
    <row r="9">
      <c r="A9" s="14" t="n"/>
      <c r="B9" s="15" t="n"/>
      <c r="C9" s="15" t="n"/>
      <c r="D9" s="16" t="n"/>
      <c r="E9" s="15" t="n"/>
    </row>
    <row r="10">
      <c r="A10" s="14" t="n"/>
      <c r="B10" s="15" t="n"/>
      <c r="C10" s="15" t="n"/>
      <c r="D10" s="16" t="n"/>
      <c r="E10" s="15" t="n"/>
    </row>
    <row r="11">
      <c r="A11" s="14" t="n"/>
      <c r="B11" s="15" t="n"/>
      <c r="C11" s="15" t="n"/>
      <c r="D11" s="16" t="n"/>
      <c r="E11" s="15" t="n"/>
    </row>
    <row r="12">
      <c r="A12" s="14" t="n"/>
      <c r="B12" s="15" t="n"/>
      <c r="C12" s="15" t="n"/>
      <c r="D12" s="16" t="n"/>
      <c r="E12" s="15" t="n"/>
    </row>
    <row r="13">
      <c r="A13" s="14" t="n"/>
      <c r="B13" s="15" t="n"/>
      <c r="C13" s="15" t="n"/>
      <c r="D13" s="16" t="n"/>
      <c r="E13" s="15" t="n"/>
    </row>
    <row r="14">
      <c r="A14" s="14" t="n"/>
      <c r="B14" s="15" t="n"/>
      <c r="C14" s="15" t="n"/>
      <c r="D14" s="16" t="n"/>
      <c r="E14" s="15" t="n"/>
    </row>
    <row r="15">
      <c r="A15" s="14" t="n"/>
      <c r="B15" s="15" t="n"/>
      <c r="C15" s="15" t="n"/>
      <c r="D15" s="16" t="n"/>
      <c r="E15" s="15" t="n"/>
    </row>
    <row r="16">
      <c r="A16" s="14" t="n"/>
      <c r="B16" s="15" t="n"/>
      <c r="C16" s="15" t="n"/>
      <c r="D16" s="16" t="n"/>
      <c r="E16" s="15" t="n"/>
    </row>
    <row r="17">
      <c r="A17" s="14" t="n"/>
      <c r="B17" s="15" t="n"/>
      <c r="C17" s="15" t="n"/>
      <c r="D17" s="16" t="n"/>
      <c r="E17" s="15" t="n"/>
    </row>
    <row r="18">
      <c r="A18" s="14" t="n"/>
      <c r="B18" s="15" t="n"/>
      <c r="C18" s="15" t="n"/>
      <c r="D18" s="16" t="n"/>
      <c r="E18" s="15" t="n"/>
    </row>
    <row r="19">
      <c r="A19" s="14" t="n"/>
      <c r="B19" s="15" t="n"/>
      <c r="C19" s="15" t="n"/>
      <c r="D19" s="16" t="n"/>
      <c r="E19" s="15" t="n"/>
    </row>
    <row r="20">
      <c r="A20" s="14" t="n"/>
      <c r="B20" s="15" t="n"/>
      <c r="C20" s="15" t="n"/>
      <c r="D20" s="16" t="n"/>
      <c r="E20" s="15" t="n"/>
    </row>
    <row r="21">
      <c r="A21" s="14" t="n"/>
      <c r="B21" s="15" t="n"/>
      <c r="C21" s="15" t="n"/>
      <c r="D21" s="16" t="n"/>
      <c r="E21" s="15" t="n"/>
    </row>
    <row r="22">
      <c r="A22" s="14" t="n"/>
      <c r="B22" s="15" t="n"/>
      <c r="C22" s="15" t="n"/>
      <c r="D22" s="16" t="n"/>
      <c r="E22" s="15" t="n"/>
    </row>
    <row r="23">
      <c r="A23" s="14" t="n"/>
      <c r="B23" s="15" t="n"/>
      <c r="C23" s="15" t="n"/>
      <c r="D23" s="16" t="n"/>
      <c r="E23" s="15" t="n"/>
    </row>
    <row r="24">
      <c r="A24" s="14" t="n"/>
      <c r="B24" s="15" t="n"/>
      <c r="C24" s="15" t="n"/>
      <c r="D24" s="16" t="n"/>
      <c r="E24" s="15" t="n"/>
    </row>
    <row r="25">
      <c r="A25" s="14" t="n"/>
      <c r="B25" s="15" t="n"/>
      <c r="C25" s="15" t="n"/>
      <c r="D25" s="16" t="n"/>
      <c r="E25" s="15" t="n"/>
    </row>
    <row r="26">
      <c r="A26" s="14" t="n"/>
      <c r="B26" s="15" t="n"/>
      <c r="C26" s="15" t="n"/>
      <c r="D26" s="16" t="n"/>
      <c r="E26" s="15" t="n"/>
    </row>
    <row r="27">
      <c r="A27" s="14" t="n"/>
      <c r="B27" s="15" t="n"/>
      <c r="C27" s="15" t="n"/>
      <c r="D27" s="16" t="n"/>
      <c r="E27" s="15" t="n"/>
    </row>
    <row r="28">
      <c r="A28" s="14" t="n"/>
      <c r="B28" s="15" t="n"/>
      <c r="C28" s="15" t="n"/>
      <c r="D28" s="16" t="n"/>
      <c r="E28" s="15" t="n"/>
    </row>
    <row r="29">
      <c r="A29" s="14" t="n"/>
      <c r="B29" s="15" t="n"/>
      <c r="C29" s="15" t="n"/>
      <c r="D29" s="16" t="n"/>
      <c r="E29" s="15" t="n"/>
    </row>
    <row r="30">
      <c r="A30" s="14" t="n"/>
      <c r="B30" s="15" t="n"/>
      <c r="C30" s="15" t="n"/>
      <c r="D30" s="16" t="n"/>
      <c r="E30" s="15" t="n"/>
    </row>
    <row r="31">
      <c r="A31" s="14" t="n"/>
      <c r="B31" s="15" t="n"/>
      <c r="C31" s="15" t="n"/>
      <c r="D31" s="16" t="n"/>
      <c r="E31" s="15" t="n"/>
    </row>
    <row r="32">
      <c r="A32" s="14" t="n"/>
      <c r="B32" s="15" t="n"/>
      <c r="C32" s="15" t="n"/>
      <c r="D32" s="16" t="n"/>
      <c r="E32" s="15" t="n"/>
    </row>
    <row r="33">
      <c r="A33" s="14" t="n"/>
      <c r="B33" s="15" t="n"/>
      <c r="C33" s="15" t="n"/>
      <c r="D33" s="16" t="n"/>
      <c r="E33" s="15" t="n"/>
    </row>
    <row r="34">
      <c r="A34" s="14" t="n"/>
      <c r="B34" s="15" t="n"/>
      <c r="C34" s="15" t="n"/>
      <c r="D34" s="16" t="n"/>
      <c r="E34" s="15" t="n"/>
    </row>
    <row r="35">
      <c r="A35" s="14" t="n"/>
      <c r="B35" s="15" t="n"/>
      <c r="C35" s="15" t="n"/>
      <c r="D35" s="16" t="n"/>
      <c r="E35" s="15" t="n"/>
    </row>
    <row r="36">
      <c r="A36" s="14" t="n"/>
      <c r="B36" s="15" t="n"/>
      <c r="C36" s="15" t="n"/>
      <c r="D36" s="16" t="n"/>
      <c r="E36" s="15" t="n"/>
    </row>
    <row r="37">
      <c r="A37" s="14" t="n"/>
      <c r="B37" s="15" t="n"/>
      <c r="C37" s="15" t="n"/>
      <c r="D37" s="16" t="n"/>
      <c r="E37" s="15" t="n"/>
    </row>
    <row r="38">
      <c r="A38" s="14" t="n"/>
      <c r="B38" s="15" t="n"/>
      <c r="C38" s="15" t="n"/>
      <c r="D38" s="16" t="n"/>
      <c r="E38" s="15" t="n"/>
    </row>
    <row r="39">
      <c r="A39" s="14" t="n"/>
      <c r="B39" s="15" t="n"/>
      <c r="C39" s="15" t="n"/>
      <c r="D39" s="16" t="n"/>
      <c r="E39" s="15" t="n"/>
    </row>
    <row r="40">
      <c r="A40" s="14" t="n"/>
      <c r="B40" s="15" t="n"/>
      <c r="C40" s="15" t="n"/>
      <c r="D40" s="16" t="n"/>
      <c r="E40" s="15" t="n"/>
    </row>
    <row r="41">
      <c r="A41" s="14" t="n"/>
      <c r="B41" s="15" t="n"/>
      <c r="C41" s="15" t="n"/>
      <c r="D41" s="16" t="n"/>
      <c r="E41" s="15" t="n"/>
    </row>
    <row r="42">
      <c r="A42" s="14" t="n"/>
      <c r="B42" s="15" t="n"/>
      <c r="C42" s="15" t="n"/>
      <c r="D42" s="16" t="n"/>
      <c r="E42" s="15" t="n"/>
    </row>
    <row r="43">
      <c r="A43" s="14" t="n"/>
      <c r="B43" s="15" t="n"/>
      <c r="C43" s="15" t="n"/>
      <c r="D43" s="16" t="n"/>
      <c r="E43" s="15" t="n"/>
    </row>
    <row r="44">
      <c r="A44" s="14" t="n"/>
      <c r="B44" s="15" t="n"/>
      <c r="C44" s="15" t="n"/>
      <c r="D44" s="16" t="n"/>
      <c r="E44" s="15" t="n"/>
    </row>
    <row r="45">
      <c r="A45" s="14" t="n"/>
      <c r="B45" s="15" t="n"/>
      <c r="C45" s="15" t="n"/>
      <c r="D45" s="16" t="n"/>
      <c r="E45" s="15" t="n"/>
    </row>
    <row r="46">
      <c r="A46" s="14" t="n"/>
      <c r="B46" s="15" t="n"/>
      <c r="C46" s="15" t="n"/>
      <c r="D46" s="16" t="n"/>
      <c r="E46" s="15" t="n"/>
    </row>
    <row r="47">
      <c r="A47" s="14" t="n"/>
      <c r="B47" s="15" t="n"/>
      <c r="C47" s="15" t="n"/>
      <c r="D47" s="16" t="n"/>
      <c r="E47" s="15" t="n"/>
    </row>
    <row r="48">
      <c r="A48" s="14" t="n"/>
      <c r="B48" s="15" t="n"/>
      <c r="C48" s="15" t="n"/>
      <c r="D48" s="16" t="n"/>
      <c r="E48" s="15" t="n"/>
    </row>
    <row r="49">
      <c r="A49" s="14" t="n"/>
      <c r="B49" s="15" t="n"/>
      <c r="C49" s="15" t="n"/>
      <c r="D49" s="16" t="n"/>
      <c r="E49" s="15" t="n"/>
    </row>
    <row r="50">
      <c r="A50" s="14" t="n"/>
      <c r="B50" s="15" t="n"/>
      <c r="C50" s="15" t="n"/>
      <c r="D50" s="16" t="n"/>
      <c r="E50" s="15" t="n"/>
    </row>
    <row r="51">
      <c r="A51" s="14" t="n"/>
      <c r="B51" s="15" t="n"/>
      <c r="C51" s="15" t="n"/>
      <c r="D51" s="16" t="n"/>
      <c r="E51" s="15" t="n"/>
    </row>
    <row r="52">
      <c r="A52" s="14" t="n"/>
      <c r="B52" s="15" t="n"/>
      <c r="C52" s="15" t="n"/>
      <c r="D52" s="16" t="n"/>
      <c r="E52" s="15" t="n"/>
    </row>
    <row r="53">
      <c r="A53" s="14" t="n"/>
      <c r="B53" s="15" t="n"/>
      <c r="C53" s="15" t="n"/>
      <c r="D53" s="16" t="n"/>
      <c r="E53" s="15" t="n"/>
    </row>
    <row r="54">
      <c r="A54" s="14" t="n"/>
      <c r="B54" s="15" t="n"/>
      <c r="C54" s="15" t="n"/>
      <c r="D54" s="16" t="n"/>
      <c r="E54" s="15" t="n"/>
    </row>
    <row r="55">
      <c r="A55" s="14" t="n"/>
      <c r="B55" s="15" t="n"/>
      <c r="C55" s="15" t="n"/>
      <c r="D55" s="16" t="n"/>
      <c r="E55" s="15" t="n"/>
    </row>
    <row r="56">
      <c r="A56" s="14" t="n"/>
      <c r="B56" s="15" t="n"/>
      <c r="C56" s="15" t="n"/>
      <c r="D56" s="16" t="n"/>
      <c r="E56" s="15" t="n"/>
    </row>
    <row r="57">
      <c r="A57" s="14" t="n"/>
      <c r="B57" s="15" t="n"/>
      <c r="C57" s="15" t="n"/>
      <c r="D57" s="16" t="n"/>
      <c r="E57" s="15" t="n"/>
    </row>
    <row r="58">
      <c r="A58" s="14" t="n"/>
      <c r="B58" s="15" t="n"/>
      <c r="C58" s="15" t="n"/>
      <c r="D58" s="16" t="n"/>
      <c r="E58" s="15" t="n"/>
    </row>
    <row r="59">
      <c r="A59" s="14" t="n"/>
      <c r="B59" s="15" t="n"/>
      <c r="C59" s="15" t="n"/>
      <c r="D59" s="16" t="n"/>
      <c r="E59" s="15" t="n"/>
    </row>
    <row r="60">
      <c r="A60" s="14" t="n"/>
      <c r="B60" s="15" t="n"/>
      <c r="C60" s="15" t="n"/>
      <c r="D60" s="16" t="n"/>
      <c r="E60" s="15" t="n"/>
    </row>
    <row r="61">
      <c r="A61" s="14" t="n"/>
      <c r="B61" s="15" t="n"/>
      <c r="C61" s="15" t="n"/>
      <c r="D61" s="16" t="n"/>
      <c r="E61" s="15" t="n"/>
    </row>
    <row r="62">
      <c r="A62" s="14" t="n"/>
      <c r="B62" s="15" t="n"/>
      <c r="C62" s="15" t="n"/>
      <c r="D62" s="16" t="n"/>
      <c r="E62" s="15" t="n"/>
    </row>
    <row r="63">
      <c r="A63" s="14" t="n"/>
      <c r="B63" s="15" t="n"/>
      <c r="C63" s="15" t="n"/>
      <c r="D63" s="16" t="n"/>
      <c r="E63" s="15" t="n"/>
    </row>
    <row r="64">
      <c r="A64" s="14" t="n"/>
      <c r="B64" s="15" t="n"/>
      <c r="C64" s="15" t="n"/>
      <c r="D64" s="16" t="n"/>
      <c r="E64" s="15" t="n"/>
    </row>
    <row r="65">
      <c r="A65" s="14" t="n"/>
      <c r="B65" s="15" t="n"/>
      <c r="C65" s="15" t="n"/>
      <c r="D65" s="16" t="n"/>
      <c r="E65" s="15" t="n"/>
    </row>
    <row r="66">
      <c r="A66" s="14" t="n"/>
      <c r="B66" s="15" t="n"/>
      <c r="C66" s="15" t="n"/>
      <c r="D66" s="16" t="n"/>
      <c r="E66" s="15" t="n"/>
    </row>
    <row r="67">
      <c r="A67" s="14" t="n"/>
      <c r="B67" s="15" t="n"/>
      <c r="C67" s="15" t="n"/>
      <c r="D67" s="16" t="n"/>
      <c r="E67" s="15" t="n"/>
    </row>
    <row r="68">
      <c r="A68" s="14" t="n"/>
      <c r="B68" s="15" t="n"/>
      <c r="C68" s="15" t="n"/>
      <c r="D68" s="16" t="n"/>
      <c r="E68" s="15" t="n"/>
    </row>
    <row r="69">
      <c r="A69" s="14" t="n"/>
      <c r="B69" s="15" t="n"/>
      <c r="C69" s="15" t="n"/>
      <c r="D69" s="16" t="n"/>
      <c r="E69" s="15" t="n"/>
    </row>
    <row r="70">
      <c r="A70" s="14" t="n"/>
      <c r="B70" s="15" t="n"/>
      <c r="C70" s="15" t="n"/>
      <c r="D70" s="16" t="n"/>
      <c r="E70" s="15" t="n"/>
    </row>
    <row r="71">
      <c r="A71" s="14" t="n"/>
      <c r="B71" s="15" t="n"/>
      <c r="C71" s="15" t="n"/>
      <c r="D71" s="16" t="n"/>
      <c r="E71" s="15" t="n"/>
    </row>
    <row r="72">
      <c r="A72" s="14" t="n"/>
      <c r="B72" s="15" t="n"/>
      <c r="C72" s="15" t="n"/>
      <c r="D72" s="16" t="n"/>
      <c r="E72" s="15" t="n"/>
    </row>
    <row r="73">
      <c r="A73" s="14" t="n"/>
      <c r="B73" s="15" t="n"/>
      <c r="C73" s="15" t="n"/>
      <c r="D73" s="16" t="n"/>
      <c r="E73" s="15" t="n"/>
    </row>
    <row r="74">
      <c r="A74" s="14" t="n"/>
      <c r="B74" s="15" t="n"/>
      <c r="C74" s="15" t="n"/>
      <c r="D74" s="16" t="n"/>
      <c r="E74" s="15" t="n"/>
    </row>
    <row r="75">
      <c r="A75" s="14" t="n"/>
      <c r="B75" s="15" t="n"/>
      <c r="C75" s="15" t="n"/>
      <c r="D75" s="16" t="n"/>
      <c r="E75" s="15" t="n"/>
    </row>
    <row r="76">
      <c r="A76" s="14" t="n"/>
      <c r="B76" s="15" t="n"/>
      <c r="C76" s="15" t="n"/>
      <c r="D76" s="16" t="n"/>
      <c r="E76" s="15" t="n"/>
    </row>
    <row r="77">
      <c r="A77" s="14" t="n"/>
      <c r="B77" s="15" t="n"/>
      <c r="C77" s="15" t="n"/>
      <c r="D77" s="16" t="n"/>
      <c r="E77" s="15" t="n"/>
    </row>
    <row r="78">
      <c r="A78" s="14" t="n"/>
      <c r="B78" s="15" t="n"/>
      <c r="C78" s="15" t="n"/>
      <c r="D78" s="16" t="n"/>
      <c r="E78" s="15" t="n"/>
    </row>
    <row r="79">
      <c r="A79" s="14" t="n"/>
      <c r="B79" s="15" t="n"/>
      <c r="C79" s="15" t="n"/>
      <c r="D79" s="16" t="n"/>
      <c r="E79" s="15" t="n"/>
    </row>
    <row r="80">
      <c r="A80" s="14" t="n"/>
      <c r="B80" s="15" t="n"/>
      <c r="C80" s="15" t="n"/>
      <c r="D80" s="16" t="n"/>
      <c r="E80" s="15" t="n"/>
    </row>
    <row r="81">
      <c r="A81" s="14" t="n"/>
      <c r="B81" s="15" t="n"/>
      <c r="C81" s="15" t="n"/>
      <c r="D81" s="16" t="n"/>
      <c r="E81" s="15" t="n"/>
    </row>
    <row r="82">
      <c r="A82" s="14" t="n"/>
      <c r="B82" s="15" t="n"/>
      <c r="C82" s="15" t="n"/>
      <c r="D82" s="16" t="n"/>
      <c r="E82" s="15" t="n"/>
    </row>
    <row r="83">
      <c r="A83" s="14" t="n"/>
      <c r="B83" s="15" t="n"/>
      <c r="C83" s="15" t="n"/>
      <c r="D83" s="16" t="n"/>
      <c r="E83" s="15" t="n"/>
    </row>
    <row r="84">
      <c r="A84" s="14" t="n"/>
      <c r="B84" s="15" t="n"/>
      <c r="C84" s="15" t="n"/>
      <c r="D84" s="16" t="n"/>
      <c r="E84" s="15" t="n"/>
    </row>
    <row r="85">
      <c r="A85" s="14" t="n"/>
      <c r="B85" s="15" t="n"/>
      <c r="C85" s="15" t="n"/>
      <c r="D85" s="16" t="n"/>
      <c r="E85" s="15" t="n"/>
    </row>
    <row r="86">
      <c r="A86" s="14" t="n"/>
      <c r="B86" s="15" t="n"/>
      <c r="C86" s="15" t="n"/>
      <c r="D86" s="16" t="n"/>
      <c r="E86" s="15" t="n"/>
    </row>
    <row r="87">
      <c r="A87" s="14" t="n"/>
      <c r="B87" s="15" t="n"/>
      <c r="C87" s="15" t="n"/>
      <c r="D87" s="16" t="n"/>
      <c r="E87" s="15" t="n"/>
    </row>
    <row r="88">
      <c r="A88" s="14" t="n"/>
      <c r="B88" s="15" t="n"/>
      <c r="C88" s="15" t="n"/>
      <c r="D88" s="16" t="n"/>
      <c r="E88" s="15" t="n"/>
    </row>
    <row r="89">
      <c r="A89" s="14" t="n"/>
      <c r="B89" s="15" t="n"/>
      <c r="C89" s="15" t="n"/>
      <c r="D89" s="16" t="n"/>
      <c r="E89" s="15" t="n"/>
    </row>
    <row r="90">
      <c r="A90" s="14" t="n"/>
      <c r="B90" s="15" t="n"/>
      <c r="C90" s="15" t="n"/>
      <c r="D90" s="16" t="n"/>
      <c r="E90" s="15" t="n"/>
    </row>
    <row r="91">
      <c r="A91" s="14" t="n"/>
      <c r="B91" s="15" t="n"/>
      <c r="C91" s="15" t="n"/>
      <c r="D91" s="16" t="n"/>
      <c r="E91" s="15" t="n"/>
    </row>
    <row r="92">
      <c r="A92" s="14" t="n"/>
      <c r="B92" s="15" t="n"/>
      <c r="C92" s="15" t="n"/>
      <c r="D92" s="16" t="n"/>
      <c r="E92" s="15" t="n"/>
    </row>
    <row r="93">
      <c r="A93" s="14" t="n"/>
      <c r="B93" s="15" t="n"/>
      <c r="C93" s="15" t="n"/>
      <c r="D93" s="16" t="n"/>
      <c r="E93" s="15" t="n"/>
    </row>
    <row r="94">
      <c r="A94" s="14" t="n"/>
      <c r="B94" s="15" t="n"/>
      <c r="C94" s="15" t="n"/>
      <c r="D94" s="16" t="n"/>
      <c r="E94" s="15" t="n"/>
    </row>
    <row r="95">
      <c r="A95" s="14" t="n"/>
      <c r="B95" s="15" t="n"/>
      <c r="C95" s="15" t="n"/>
      <c r="D95" s="16" t="n"/>
      <c r="E95" s="15" t="n"/>
    </row>
    <row r="96">
      <c r="A96" s="14" t="n"/>
      <c r="B96" s="15" t="n"/>
      <c r="C96" s="15" t="n"/>
      <c r="D96" s="16" t="n"/>
      <c r="E96" s="15" t="n"/>
    </row>
    <row r="97">
      <c r="A97" s="14" t="n"/>
      <c r="B97" s="15" t="n"/>
      <c r="C97" s="15" t="n"/>
      <c r="D97" s="16" t="n"/>
      <c r="E97" s="15" t="n"/>
    </row>
    <row r="98">
      <c r="A98" s="14" t="n"/>
      <c r="B98" s="15" t="n"/>
      <c r="C98" s="15" t="n"/>
      <c r="D98" s="16" t="n"/>
      <c r="E98" s="15" t="n"/>
    </row>
    <row r="99">
      <c r="A99" s="14" t="n"/>
      <c r="B99" s="15" t="n"/>
      <c r="C99" s="15" t="n"/>
      <c r="D99" s="16" t="n"/>
      <c r="E99" s="15" t="n"/>
    </row>
    <row r="100">
      <c r="A100" s="14" t="n"/>
      <c r="B100" s="15" t="n"/>
      <c r="C100" s="15" t="n"/>
      <c r="D100" s="16" t="n"/>
      <c r="E100" s="15" t="n"/>
    </row>
    <row r="101">
      <c r="A101" s="14" t="n"/>
      <c r="B101" s="15" t="n"/>
      <c r="C101" s="15" t="n"/>
      <c r="D101" s="16" t="n"/>
      <c r="E101" s="15" t="n"/>
    </row>
    <row r="102">
      <c r="A102" s="14" t="n"/>
      <c r="B102" s="15" t="n"/>
      <c r="C102" s="15" t="n"/>
      <c r="D102" s="16" t="n"/>
      <c r="E102" s="15" t="n"/>
    </row>
    <row r="103">
      <c r="A103" s="14" t="n"/>
      <c r="B103" s="15" t="n"/>
      <c r="C103" s="15" t="n"/>
      <c r="D103" s="16" t="n"/>
      <c r="E103" s="15" t="n"/>
    </row>
    <row r="104">
      <c r="A104" s="14" t="n"/>
      <c r="B104" s="15" t="n"/>
      <c r="C104" s="15" t="n"/>
      <c r="D104" s="16" t="n"/>
      <c r="E104" s="15" t="n"/>
    </row>
    <row r="105">
      <c r="A105" s="14" t="n"/>
      <c r="B105" s="15" t="n"/>
      <c r="C105" s="15" t="n"/>
      <c r="D105" s="16" t="n"/>
      <c r="E105" s="15" t="n"/>
    </row>
    <row r="106">
      <c r="A106" s="14" t="n"/>
      <c r="B106" s="15" t="n"/>
      <c r="C106" s="15" t="n"/>
      <c r="D106" s="16" t="n"/>
      <c r="E106" s="15" t="n"/>
    </row>
    <row r="107">
      <c r="A107" s="14" t="n"/>
      <c r="B107" s="15" t="n"/>
      <c r="C107" s="15" t="n"/>
      <c r="D107" s="16" t="n"/>
      <c r="E107" s="15" t="n"/>
    </row>
    <row r="108">
      <c r="A108" s="14" t="n"/>
      <c r="B108" s="15" t="n"/>
      <c r="C108" s="15" t="n"/>
      <c r="D108" s="16" t="n"/>
      <c r="E108" s="15" t="n"/>
    </row>
    <row r="109">
      <c r="A109" s="14" t="n"/>
      <c r="B109" s="15" t="n"/>
      <c r="C109" s="15" t="n"/>
      <c r="D109" s="16" t="n"/>
      <c r="E109" s="15" t="n"/>
    </row>
    <row r="110">
      <c r="A110" s="14" t="n"/>
      <c r="B110" s="15" t="n"/>
      <c r="C110" s="15" t="n"/>
      <c r="D110" s="16" t="n"/>
      <c r="E110" s="15" t="n"/>
    </row>
    <row r="111">
      <c r="A111" s="14" t="n"/>
      <c r="B111" s="15" t="n"/>
      <c r="C111" s="15" t="n"/>
      <c r="D111" s="16" t="n"/>
      <c r="E111" s="15" t="n"/>
    </row>
    <row r="112">
      <c r="A112" s="14" t="n"/>
      <c r="B112" s="15" t="n"/>
      <c r="C112" s="15" t="n"/>
      <c r="D112" s="16" t="n"/>
      <c r="E112" s="15" t="n"/>
    </row>
    <row r="113">
      <c r="A113" s="14" t="n"/>
      <c r="B113" s="15" t="n"/>
      <c r="C113" s="15" t="n"/>
      <c r="D113" s="16" t="n"/>
      <c r="E113" s="15" t="n"/>
    </row>
    <row r="114">
      <c r="A114" s="14" t="n"/>
      <c r="B114" s="15" t="n"/>
      <c r="C114" s="15" t="n"/>
      <c r="D114" s="16" t="n"/>
      <c r="E114" s="15" t="n"/>
    </row>
    <row r="115">
      <c r="A115" s="14" t="n"/>
      <c r="B115" s="15" t="n"/>
      <c r="C115" s="15" t="n"/>
      <c r="D115" s="16" t="n"/>
      <c r="E115" s="15" t="n"/>
    </row>
    <row r="116">
      <c r="A116" s="14" t="n"/>
      <c r="B116" s="15" t="n"/>
      <c r="C116" s="15" t="n"/>
      <c r="D116" s="16" t="n"/>
      <c r="E116" s="15" t="n"/>
    </row>
    <row r="117">
      <c r="A117" s="14" t="n"/>
      <c r="B117" s="15" t="n"/>
      <c r="C117" s="15" t="n"/>
      <c r="D117" s="16" t="n"/>
      <c r="E117" s="15" t="n"/>
    </row>
    <row r="118">
      <c r="A118" s="14" t="n"/>
      <c r="B118" s="15" t="n"/>
      <c r="C118" s="15" t="n"/>
      <c r="D118" s="16" t="n"/>
      <c r="E118" s="15" t="n"/>
    </row>
    <row r="119">
      <c r="A119" s="14" t="n"/>
      <c r="B119" s="15" t="n"/>
      <c r="C119" s="15" t="n"/>
      <c r="D119" s="16" t="n"/>
      <c r="E119" s="15" t="n"/>
    </row>
    <row r="120">
      <c r="A120" s="14" t="n"/>
      <c r="B120" s="15" t="n"/>
      <c r="C120" s="15" t="n"/>
      <c r="D120" s="16" t="n"/>
      <c r="E120" s="15" t="n"/>
    </row>
    <row r="121">
      <c r="A121" s="14" t="n"/>
      <c r="B121" s="15" t="n"/>
      <c r="C121" s="15" t="n"/>
      <c r="D121" s="16" t="n"/>
      <c r="E121" s="15" t="n"/>
    </row>
    <row r="122">
      <c r="A122" s="14" t="n"/>
      <c r="B122" s="15" t="n"/>
      <c r="C122" s="15" t="n"/>
      <c r="D122" s="16" t="n"/>
      <c r="E122" s="15" t="n"/>
    </row>
    <row r="123">
      <c r="A123" s="14" t="n"/>
      <c r="B123" s="15" t="n"/>
      <c r="C123" s="15" t="n"/>
      <c r="D123" s="16" t="n"/>
      <c r="E123" s="15" t="n"/>
    </row>
    <row r="124">
      <c r="A124" s="14" t="n"/>
      <c r="B124" s="15" t="n"/>
      <c r="C124" s="15" t="n"/>
      <c r="D124" s="16" t="n"/>
      <c r="E124" s="15" t="n"/>
    </row>
    <row r="125">
      <c r="A125" s="14" t="n"/>
      <c r="B125" s="15" t="n"/>
      <c r="C125" s="15" t="n"/>
      <c r="D125" s="16" t="n"/>
      <c r="E125" s="15" t="n"/>
    </row>
    <row r="126">
      <c r="A126" s="14" t="n"/>
      <c r="B126" s="15" t="n"/>
      <c r="C126" s="15" t="n"/>
      <c r="D126" s="16" t="n"/>
      <c r="E126" s="15" t="n"/>
    </row>
    <row r="127">
      <c r="A127" s="14" t="n"/>
      <c r="B127" s="15" t="n"/>
      <c r="C127" s="15" t="n"/>
      <c r="D127" s="16" t="n"/>
      <c r="E127" s="15" t="n"/>
    </row>
    <row r="128">
      <c r="A128" s="14" t="n"/>
      <c r="B128" s="15" t="n"/>
      <c r="C128" s="15" t="n"/>
      <c r="D128" s="16" t="n"/>
      <c r="E128" s="15" t="n"/>
    </row>
    <row r="129">
      <c r="A129" s="14" t="n"/>
      <c r="B129" s="15" t="n"/>
      <c r="C129" s="15" t="n"/>
      <c r="D129" s="16" t="n"/>
      <c r="E129" s="15" t="n"/>
    </row>
    <row r="130">
      <c r="A130" s="14" t="n"/>
      <c r="B130" s="15" t="n"/>
      <c r="C130" s="15" t="n"/>
      <c r="D130" s="16" t="n"/>
      <c r="E130" s="15" t="n"/>
    </row>
    <row r="131">
      <c r="A131" s="14" t="n"/>
      <c r="B131" s="15" t="n"/>
      <c r="C131" s="15" t="n"/>
      <c r="D131" s="16" t="n"/>
      <c r="E131" s="15" t="n"/>
    </row>
    <row r="132">
      <c r="A132" s="14" t="n"/>
      <c r="B132" s="15" t="n"/>
      <c r="C132" s="15" t="n"/>
      <c r="D132" s="16" t="n"/>
      <c r="E132" s="15" t="n"/>
    </row>
    <row r="133">
      <c r="A133" s="14" t="n"/>
      <c r="B133" s="15" t="n"/>
      <c r="C133" s="15" t="n"/>
      <c r="D133" s="16" t="n"/>
      <c r="E133" s="15" t="n"/>
    </row>
    <row r="134">
      <c r="A134" s="14" t="n"/>
      <c r="B134" s="15" t="n"/>
      <c r="C134" s="15" t="n"/>
      <c r="D134" s="16" t="n"/>
      <c r="E134" s="15" t="n"/>
    </row>
    <row r="135">
      <c r="A135" s="14" t="n"/>
      <c r="B135" s="15" t="n"/>
      <c r="C135" s="15" t="n"/>
      <c r="D135" s="16" t="n"/>
      <c r="E135" s="15" t="n"/>
    </row>
    <row r="136">
      <c r="A136" s="14" t="n"/>
      <c r="B136" s="15" t="n"/>
      <c r="C136" s="15" t="n"/>
      <c r="D136" s="16" t="n"/>
      <c r="E136" s="15" t="n"/>
    </row>
    <row r="137">
      <c r="A137" s="14" t="n"/>
      <c r="B137" s="15" t="n"/>
      <c r="C137" s="15" t="n"/>
      <c r="D137" s="16" t="n"/>
      <c r="E137" s="15" t="n"/>
    </row>
    <row r="138">
      <c r="A138" s="14" t="n"/>
      <c r="B138" s="15" t="n"/>
      <c r="C138" s="15" t="n"/>
      <c r="D138" s="16" t="n"/>
      <c r="E138" s="15" t="n"/>
    </row>
    <row r="139">
      <c r="A139" s="14" t="n"/>
      <c r="B139" s="15" t="n"/>
      <c r="C139" s="15" t="n"/>
      <c r="D139" s="16" t="n"/>
      <c r="E139" s="15" t="n"/>
    </row>
    <row r="140">
      <c r="A140" s="14" t="n"/>
      <c r="B140" s="15" t="n"/>
      <c r="C140" s="15" t="n"/>
      <c r="D140" s="16" t="n"/>
      <c r="E140" s="15" t="n"/>
    </row>
    <row r="141">
      <c r="A141" s="14" t="n"/>
      <c r="B141" s="15" t="n"/>
      <c r="C141" s="15" t="n"/>
      <c r="D141" s="16" t="n"/>
      <c r="E141" s="15" t="n"/>
    </row>
    <row r="142">
      <c r="A142" s="14" t="n"/>
      <c r="B142" s="15" t="n"/>
      <c r="C142" s="15" t="n"/>
      <c r="D142" s="16" t="n"/>
      <c r="E142" s="15" t="n"/>
    </row>
    <row r="143">
      <c r="A143" s="14" t="n"/>
      <c r="B143" s="15" t="n"/>
      <c r="C143" s="15" t="n"/>
      <c r="D143" s="16" t="n"/>
      <c r="E143" s="15" t="n"/>
    </row>
    <row r="144">
      <c r="A144" s="14" t="n"/>
      <c r="B144" s="15" t="n"/>
      <c r="C144" s="15" t="n"/>
      <c r="D144" s="16" t="n"/>
      <c r="E144" s="15" t="n"/>
    </row>
    <row r="145">
      <c r="A145" s="14" t="n"/>
      <c r="B145" s="15" t="n"/>
      <c r="C145" s="15" t="n"/>
      <c r="D145" s="16" t="n"/>
      <c r="E145" s="15" t="n"/>
    </row>
    <row r="146">
      <c r="A146" s="14" t="n"/>
      <c r="B146" s="15" t="n"/>
      <c r="C146" s="15" t="n"/>
      <c r="D146" s="16" t="n"/>
      <c r="E146" s="15" t="n"/>
    </row>
    <row r="147">
      <c r="A147" s="14" t="n"/>
      <c r="B147" s="15" t="n"/>
      <c r="C147" s="15" t="n"/>
      <c r="D147" s="16" t="n"/>
      <c r="E147" s="15" t="n"/>
    </row>
    <row r="148">
      <c r="A148" s="14" t="n"/>
      <c r="B148" s="15" t="n"/>
      <c r="C148" s="15" t="n"/>
      <c r="D148" s="16" t="n"/>
      <c r="E148" s="15" t="n"/>
    </row>
    <row r="149">
      <c r="A149" s="14" t="n"/>
      <c r="B149" s="15" t="n"/>
      <c r="C149" s="15" t="n"/>
      <c r="D149" s="16" t="n"/>
      <c r="E149" s="15" t="n"/>
    </row>
    <row r="150">
      <c r="A150" s="14" t="n"/>
      <c r="B150" s="15" t="n"/>
      <c r="C150" s="15" t="n"/>
      <c r="D150" s="16" t="n"/>
      <c r="E150" s="15" t="n"/>
    </row>
    <row r="151">
      <c r="A151" s="14" t="n"/>
      <c r="B151" s="15" t="n"/>
      <c r="C151" s="15" t="n"/>
      <c r="D151" s="16" t="n"/>
      <c r="E151" s="15" t="n"/>
    </row>
    <row r="152">
      <c r="A152" s="14" t="n"/>
      <c r="B152" s="15" t="n"/>
      <c r="C152" s="15" t="n"/>
      <c r="D152" s="16" t="n"/>
      <c r="E152" s="15" t="n"/>
    </row>
    <row r="153">
      <c r="A153" s="14" t="n"/>
      <c r="B153" s="15" t="n"/>
      <c r="C153" s="15" t="n"/>
      <c r="D153" s="16" t="n"/>
      <c r="E153" s="15" t="n"/>
    </row>
    <row r="154">
      <c r="A154" s="14" t="n"/>
      <c r="B154" s="15" t="n"/>
      <c r="C154" s="15" t="n"/>
      <c r="D154" s="16" t="n"/>
      <c r="E154" s="15" t="n"/>
    </row>
    <row r="155">
      <c r="A155" s="14" t="n"/>
      <c r="B155" s="15" t="n"/>
      <c r="C155" s="15" t="n"/>
      <c r="D155" s="16" t="n"/>
      <c r="E155" s="15" t="n"/>
    </row>
    <row r="156">
      <c r="A156" s="14" t="n"/>
      <c r="B156" s="15" t="n"/>
      <c r="C156" s="15" t="n"/>
      <c r="D156" s="16" t="n"/>
      <c r="E156" s="15" t="n"/>
    </row>
    <row r="157">
      <c r="A157" s="14" t="n"/>
      <c r="B157" s="15" t="n"/>
      <c r="C157" s="15" t="n"/>
      <c r="D157" s="16" t="n"/>
      <c r="E157" s="15" t="n"/>
    </row>
    <row r="158">
      <c r="A158" s="14" t="n"/>
      <c r="B158" s="15" t="n"/>
      <c r="C158" s="15" t="n"/>
      <c r="D158" s="16" t="n"/>
      <c r="E158" s="15" t="n"/>
    </row>
    <row r="159">
      <c r="A159" s="14" t="n"/>
      <c r="B159" s="15" t="n"/>
      <c r="C159" s="15" t="n"/>
      <c r="D159" s="16" t="n"/>
      <c r="E159" s="15" t="n"/>
    </row>
    <row r="160">
      <c r="A160" s="14" t="n"/>
      <c r="B160" s="15" t="n"/>
      <c r="C160" s="15" t="n"/>
      <c r="D160" s="16" t="n"/>
      <c r="E160" s="15" t="n"/>
    </row>
    <row r="161">
      <c r="A161" s="14" t="n"/>
      <c r="B161" s="15" t="n"/>
      <c r="C161" s="15" t="n"/>
      <c r="D161" s="16" t="n"/>
      <c r="E161" s="15" t="n"/>
    </row>
    <row r="162">
      <c r="A162" s="14" t="n"/>
      <c r="B162" s="15" t="n"/>
      <c r="C162" s="15" t="n"/>
      <c r="D162" s="16" t="n"/>
      <c r="E162" s="15" t="n"/>
    </row>
    <row r="163">
      <c r="A163" s="14" t="n"/>
      <c r="B163" s="15" t="n"/>
      <c r="C163" s="15" t="n"/>
      <c r="D163" s="16" t="n"/>
      <c r="E163" s="15" t="n"/>
    </row>
    <row r="164">
      <c r="A164" s="14" t="n"/>
      <c r="B164" s="15" t="n"/>
      <c r="C164" s="15" t="n"/>
      <c r="D164" s="16" t="n"/>
      <c r="E164" s="15" t="n"/>
    </row>
    <row r="165">
      <c r="A165" s="14" t="n"/>
      <c r="B165" s="15" t="n"/>
      <c r="C165" s="15" t="n"/>
      <c r="D165" s="16" t="n"/>
      <c r="E165" s="15" t="n"/>
    </row>
    <row r="166">
      <c r="A166" s="14" t="n"/>
      <c r="B166" s="15" t="n"/>
      <c r="C166" s="15" t="n"/>
      <c r="D166" s="16" t="n"/>
      <c r="E166" s="15" t="n"/>
    </row>
    <row r="167">
      <c r="A167" s="14" t="n"/>
      <c r="B167" s="15" t="n"/>
      <c r="C167" s="15" t="n"/>
      <c r="D167" s="16" t="n"/>
      <c r="E167" s="15" t="n"/>
    </row>
    <row r="168">
      <c r="A168" s="14" t="n"/>
      <c r="B168" s="15" t="n"/>
      <c r="C168" s="15" t="n"/>
      <c r="D168" s="16" t="n"/>
      <c r="E168" s="15" t="n"/>
    </row>
    <row r="169">
      <c r="A169" s="14" t="n"/>
      <c r="B169" s="15" t="n"/>
      <c r="C169" s="15" t="n"/>
      <c r="D169" s="16" t="n"/>
      <c r="E169" s="15" t="n"/>
    </row>
    <row r="170">
      <c r="A170" s="14" t="n"/>
      <c r="B170" s="15" t="n"/>
      <c r="C170" s="15" t="n"/>
      <c r="D170" s="16" t="n"/>
      <c r="E170" s="15" t="n"/>
    </row>
    <row r="171">
      <c r="A171" s="14" t="n"/>
      <c r="B171" s="15" t="n"/>
      <c r="C171" s="15" t="n"/>
      <c r="D171" s="16" t="n"/>
      <c r="E171" s="15" t="n"/>
    </row>
    <row r="172">
      <c r="A172" s="14" t="n"/>
      <c r="B172" s="15" t="n"/>
      <c r="C172" s="15" t="n"/>
      <c r="D172" s="16" t="n"/>
      <c r="E172" s="15" t="n"/>
    </row>
    <row r="173">
      <c r="A173" s="14" t="n"/>
      <c r="B173" s="15" t="n"/>
      <c r="C173" s="15" t="n"/>
      <c r="D173" s="16" t="n"/>
      <c r="E173" s="15" t="n"/>
    </row>
    <row r="174">
      <c r="A174" s="14" t="n"/>
      <c r="B174" s="15" t="n"/>
      <c r="C174" s="15" t="n"/>
      <c r="D174" s="16" t="n"/>
      <c r="E174" s="15" t="n"/>
    </row>
    <row r="175">
      <c r="A175" s="14" t="n"/>
      <c r="B175" s="15" t="n"/>
      <c r="C175" s="15" t="n"/>
      <c r="D175" s="16" t="n"/>
      <c r="E175" s="15" t="n"/>
    </row>
    <row r="176">
      <c r="A176" s="14" t="n"/>
      <c r="B176" s="15" t="n"/>
      <c r="C176" s="15" t="n"/>
      <c r="D176" s="16" t="n"/>
      <c r="E176" s="15" t="n"/>
    </row>
    <row r="177">
      <c r="A177" s="14" t="n"/>
      <c r="B177" s="15" t="n"/>
      <c r="C177" s="15" t="n"/>
      <c r="D177" s="16" t="n"/>
      <c r="E177" s="15" t="n"/>
    </row>
    <row r="178">
      <c r="A178" s="14" t="n"/>
      <c r="B178" s="15" t="n"/>
      <c r="C178" s="15" t="n"/>
      <c r="D178" s="16" t="n"/>
      <c r="E178" s="15" t="n"/>
    </row>
    <row r="179">
      <c r="A179" s="14" t="n"/>
      <c r="B179" s="15" t="n"/>
      <c r="C179" s="15" t="n"/>
      <c r="D179" s="16" t="n"/>
      <c r="E179" s="15" t="n"/>
    </row>
    <row r="180">
      <c r="A180" s="14" t="n"/>
      <c r="B180" s="15" t="n"/>
      <c r="C180" s="15" t="n"/>
      <c r="D180" s="16" t="n"/>
      <c r="E180" s="15" t="n"/>
    </row>
    <row r="181">
      <c r="A181" s="14" t="n"/>
      <c r="B181" s="15" t="n"/>
      <c r="C181" s="15" t="n"/>
      <c r="D181" s="16" t="n"/>
      <c r="E181" s="15" t="n"/>
    </row>
    <row r="182">
      <c r="A182" s="14" t="n"/>
      <c r="B182" s="15" t="n"/>
      <c r="C182" s="15" t="n"/>
      <c r="D182" s="16" t="n"/>
      <c r="E182" s="15" t="n"/>
    </row>
    <row r="183">
      <c r="A183" s="14" t="n"/>
      <c r="B183" s="15" t="n"/>
      <c r="C183" s="15" t="n"/>
      <c r="D183" s="16" t="n"/>
      <c r="E183" s="15" t="n"/>
    </row>
    <row r="184">
      <c r="A184" s="14" t="n"/>
      <c r="B184" s="15" t="n"/>
      <c r="C184" s="15" t="n"/>
      <c r="D184" s="16" t="n"/>
      <c r="E184" s="15" t="n"/>
    </row>
    <row r="185">
      <c r="A185" s="14" t="n"/>
      <c r="B185" s="15" t="n"/>
      <c r="C185" s="15" t="n"/>
      <c r="D185" s="16" t="n"/>
      <c r="E185" s="15" t="n"/>
    </row>
    <row r="186">
      <c r="A186" s="14" t="n"/>
      <c r="B186" s="15" t="n"/>
      <c r="C186" s="15" t="n"/>
      <c r="D186" s="16" t="n"/>
      <c r="E186" s="15" t="n"/>
    </row>
    <row r="187">
      <c r="A187" s="14" t="n"/>
      <c r="B187" s="15" t="n"/>
      <c r="C187" s="15" t="n"/>
      <c r="D187" s="16" t="n"/>
      <c r="E187" s="15" t="n"/>
    </row>
    <row r="188">
      <c r="A188" s="14" t="n"/>
      <c r="B188" s="15" t="n"/>
      <c r="C188" s="15" t="n"/>
      <c r="D188" s="16" t="n"/>
      <c r="E188" s="15" t="n"/>
    </row>
    <row r="189">
      <c r="A189" s="14" t="n"/>
      <c r="B189" s="15" t="n"/>
      <c r="C189" s="15" t="n"/>
      <c r="D189" s="16" t="n"/>
      <c r="E189" s="15" t="n"/>
    </row>
    <row r="190">
      <c r="A190" s="14" t="n"/>
      <c r="B190" s="15" t="n"/>
      <c r="C190" s="15" t="n"/>
      <c r="D190" s="16" t="n"/>
      <c r="E190" s="15" t="n"/>
    </row>
    <row r="191">
      <c r="A191" s="14" t="n"/>
      <c r="B191" s="15" t="n"/>
      <c r="C191" s="15" t="n"/>
      <c r="D191" s="16" t="n"/>
      <c r="E191" s="15" t="n"/>
    </row>
    <row r="192">
      <c r="A192" s="14" t="n"/>
      <c r="B192" s="15" t="n"/>
      <c r="C192" s="15" t="n"/>
      <c r="D192" s="16" t="n"/>
      <c r="E192" s="15" t="n"/>
    </row>
    <row r="193">
      <c r="A193" s="14" t="n"/>
      <c r="B193" s="15" t="n"/>
      <c r="C193" s="15" t="n"/>
      <c r="D193" s="16" t="n"/>
      <c r="E193" s="15" t="n"/>
    </row>
    <row r="194">
      <c r="A194" s="14" t="n"/>
      <c r="B194" s="15" t="n"/>
      <c r="C194" s="15" t="n"/>
      <c r="D194" s="16" t="n"/>
      <c r="E194" s="15" t="n"/>
    </row>
    <row r="195">
      <c r="A195" s="14" t="n"/>
      <c r="B195" s="15" t="n"/>
      <c r="C195" s="15" t="n"/>
      <c r="D195" s="16" t="n"/>
      <c r="E195" s="15" t="n"/>
    </row>
    <row r="196">
      <c r="A196" s="14" t="n"/>
      <c r="B196" s="15" t="n"/>
      <c r="C196" s="15" t="n"/>
      <c r="D196" s="16" t="n"/>
      <c r="E196" s="15" t="n"/>
    </row>
    <row r="197">
      <c r="A197" s="14" t="n"/>
      <c r="B197" s="15" t="n"/>
      <c r="C197" s="15" t="n"/>
      <c r="D197" s="16" t="n"/>
      <c r="E197" s="15" t="n"/>
    </row>
    <row r="198">
      <c r="A198" s="14" t="n"/>
      <c r="B198" s="15" t="n"/>
      <c r="C198" s="15" t="n"/>
      <c r="D198" s="16" t="n"/>
      <c r="E198" s="15" t="n"/>
    </row>
    <row r="199">
      <c r="A199" s="14" t="n"/>
      <c r="B199" s="15" t="n"/>
      <c r="C199" s="15" t="n"/>
      <c r="D199" s="16" t="n"/>
      <c r="E199" s="15" t="n"/>
    </row>
    <row r="200">
      <c r="A200" s="14" t="n"/>
      <c r="B200" s="15" t="n"/>
      <c r="C200" s="15" t="n"/>
      <c r="D200" s="16" t="n"/>
      <c r="E200" s="15" t="n"/>
    </row>
    <row r="201">
      <c r="A201" s="14" t="n"/>
      <c r="B201" s="15" t="n"/>
      <c r="C201" s="15" t="n"/>
      <c r="D201" s="16" t="n"/>
      <c r="E201" s="15" t="n"/>
    </row>
    <row r="202">
      <c r="A202" s="14" t="n"/>
      <c r="B202" s="15" t="n"/>
      <c r="C202" s="15" t="n"/>
      <c r="D202" s="16" t="n"/>
      <c r="E202" s="15" t="n"/>
    </row>
    <row r="203">
      <c r="A203" s="14" t="n"/>
      <c r="B203" s="15" t="n"/>
      <c r="C203" s="15" t="n"/>
      <c r="D203" s="16" t="n"/>
      <c r="E203" s="15" t="n"/>
    </row>
    <row r="204">
      <c r="A204" s="14" t="n"/>
      <c r="B204" s="15" t="n"/>
      <c r="C204" s="15" t="n"/>
      <c r="D204" s="16" t="n"/>
      <c r="E204" s="15" t="n"/>
    </row>
    <row r="205">
      <c r="A205" s="14" t="n"/>
      <c r="B205" s="15" t="n"/>
      <c r="C205" s="15" t="n"/>
      <c r="D205" s="16" t="n"/>
      <c r="E205" s="15" t="n"/>
    </row>
    <row r="206">
      <c r="A206" s="14" t="n"/>
      <c r="B206" s="15" t="n"/>
      <c r="C206" s="15" t="n"/>
      <c r="D206" s="16" t="n"/>
      <c r="E206" s="15" t="n"/>
    </row>
    <row r="207">
      <c r="A207" s="14" t="n"/>
      <c r="B207" s="15" t="n"/>
      <c r="C207" s="15" t="n"/>
      <c r="D207" s="16" t="n"/>
      <c r="E207" s="15" t="n"/>
    </row>
    <row r="208">
      <c r="A208" s="14" t="n"/>
      <c r="B208" s="15" t="n"/>
      <c r="C208" s="15" t="n"/>
      <c r="D208" s="16" t="n"/>
      <c r="E208" s="15" t="n"/>
    </row>
    <row r="209">
      <c r="A209" s="14" t="n"/>
      <c r="B209" s="15" t="n"/>
      <c r="C209" s="15" t="n"/>
      <c r="D209" s="16" t="n"/>
      <c r="E209" s="15" t="n"/>
    </row>
    <row r="210">
      <c r="A210" s="14" t="n"/>
      <c r="B210" s="15" t="n"/>
      <c r="C210" s="15" t="n"/>
      <c r="D210" s="16" t="n"/>
      <c r="E210" s="15" t="n"/>
    </row>
    <row r="211">
      <c r="A211" s="14" t="n"/>
      <c r="B211" s="15" t="n"/>
      <c r="C211" s="15" t="n"/>
      <c r="D211" s="16" t="n"/>
      <c r="E211" s="15" t="n"/>
    </row>
    <row r="212">
      <c r="A212" s="14" t="n"/>
      <c r="B212" s="15" t="n"/>
      <c r="C212" s="15" t="n"/>
      <c r="D212" s="16" t="n"/>
      <c r="E212" s="15" t="n"/>
    </row>
    <row r="213">
      <c r="A213" s="14" t="n"/>
      <c r="B213" s="15" t="n"/>
      <c r="C213" s="15" t="n"/>
      <c r="D213" s="16" t="n"/>
      <c r="E213" s="15" t="n"/>
    </row>
    <row r="214">
      <c r="A214" s="14" t="n"/>
      <c r="B214" s="15" t="n"/>
      <c r="C214" s="15" t="n"/>
      <c r="D214" s="16" t="n"/>
      <c r="E214" s="15" t="n"/>
    </row>
    <row r="215">
      <c r="A215" s="14" t="n"/>
      <c r="B215" s="15" t="n"/>
      <c r="C215" s="15" t="n"/>
      <c r="D215" s="16" t="n"/>
      <c r="E215" s="15" t="n"/>
    </row>
    <row r="216">
      <c r="A216" s="14" t="n"/>
      <c r="B216" s="15" t="n"/>
      <c r="C216" s="15" t="n"/>
      <c r="D216" s="16" t="n"/>
      <c r="E216" s="15" t="n"/>
    </row>
    <row r="217">
      <c r="A217" s="14" t="n"/>
      <c r="B217" s="15" t="n"/>
      <c r="C217" s="15" t="n"/>
      <c r="D217" s="16" t="n"/>
      <c r="E217" s="15" t="n"/>
    </row>
    <row r="218">
      <c r="A218" s="14" t="n"/>
      <c r="B218" s="15" t="n"/>
      <c r="C218" s="15" t="n"/>
      <c r="D218" s="16" t="n"/>
      <c r="E218" s="15" t="n"/>
    </row>
    <row r="219">
      <c r="A219" s="14" t="n"/>
      <c r="B219" s="15" t="n"/>
      <c r="C219" s="15" t="n"/>
      <c r="D219" s="16" t="n"/>
      <c r="E219" s="15" t="n"/>
    </row>
    <row r="220">
      <c r="A220" s="14" t="n"/>
      <c r="B220" s="15" t="n"/>
      <c r="C220" s="15" t="n"/>
      <c r="D220" s="16" t="n"/>
      <c r="E220" s="15" t="n"/>
    </row>
    <row r="221">
      <c r="A221" s="14" t="n"/>
      <c r="B221" s="15" t="n"/>
      <c r="C221" s="15" t="n"/>
      <c r="D221" s="16" t="n"/>
      <c r="E221" s="15" t="n"/>
    </row>
    <row r="222">
      <c r="A222" s="14" t="n"/>
      <c r="B222" s="15" t="n"/>
      <c r="C222" s="15" t="n"/>
      <c r="D222" s="16" t="n"/>
      <c r="E222" s="15" t="n"/>
    </row>
    <row r="223">
      <c r="A223" s="14" t="n"/>
      <c r="B223" s="15" t="n"/>
      <c r="C223" s="15" t="n"/>
      <c r="D223" s="16" t="n"/>
      <c r="E223" s="15" t="n"/>
    </row>
    <row r="224">
      <c r="A224" s="14" t="n"/>
      <c r="B224" s="15" t="n"/>
      <c r="C224" s="15" t="n"/>
      <c r="D224" s="16" t="n"/>
      <c r="E224" s="15" t="n"/>
    </row>
    <row r="225">
      <c r="A225" s="14" t="n"/>
      <c r="B225" s="15" t="n"/>
      <c r="C225" s="15" t="n"/>
      <c r="D225" s="16" t="n"/>
      <c r="E225" s="15" t="n"/>
    </row>
    <row r="226">
      <c r="A226" s="14" t="n"/>
      <c r="B226" s="15" t="n"/>
      <c r="C226" s="15" t="n"/>
      <c r="D226" s="16" t="n"/>
      <c r="E226" s="15" t="n"/>
    </row>
    <row r="227">
      <c r="A227" s="14" t="n"/>
      <c r="B227" s="15" t="n"/>
      <c r="C227" s="15" t="n"/>
      <c r="D227" s="16" t="n"/>
      <c r="E227" s="15" t="n"/>
    </row>
    <row r="228">
      <c r="A228" s="14" t="n"/>
      <c r="B228" s="15" t="n"/>
      <c r="C228" s="15" t="n"/>
      <c r="D228" s="16" t="n"/>
      <c r="E228" s="15" t="n"/>
    </row>
    <row r="229">
      <c r="A229" s="14" t="n"/>
      <c r="B229" s="15" t="n"/>
      <c r="C229" s="15" t="n"/>
      <c r="D229" s="16" t="n"/>
      <c r="E229" s="15" t="n"/>
    </row>
    <row r="230">
      <c r="A230" s="14" t="n"/>
      <c r="B230" s="15" t="n"/>
      <c r="C230" s="15" t="n"/>
      <c r="D230" s="16" t="n"/>
      <c r="E230" s="15" t="n"/>
    </row>
    <row r="231">
      <c r="A231" s="14" t="n"/>
      <c r="B231" s="15" t="n"/>
      <c r="C231" s="15" t="n"/>
      <c r="D231" s="16" t="n"/>
      <c r="E231" s="15" t="n"/>
    </row>
    <row r="232">
      <c r="A232" s="14" t="n"/>
      <c r="B232" s="15" t="n"/>
      <c r="C232" s="15" t="n"/>
      <c r="D232" s="16" t="n"/>
      <c r="E232" s="15" t="n"/>
    </row>
    <row r="233">
      <c r="A233" s="14" t="n"/>
      <c r="B233" s="15" t="n"/>
      <c r="C233" s="15" t="n"/>
      <c r="D233" s="16" t="n"/>
      <c r="E233" s="15" t="n"/>
    </row>
    <row r="234">
      <c r="A234" s="14" t="n"/>
      <c r="B234" s="15" t="n"/>
      <c r="C234" s="15" t="n"/>
      <c r="D234" s="16" t="n"/>
      <c r="E234" s="15" t="n"/>
    </row>
    <row r="235">
      <c r="A235" s="14" t="n"/>
      <c r="B235" s="15" t="n"/>
      <c r="C235" s="15" t="n"/>
      <c r="D235" s="16" t="n"/>
      <c r="E235" s="15" t="n"/>
    </row>
    <row r="236">
      <c r="A236" s="14" t="n"/>
      <c r="B236" s="15" t="n"/>
      <c r="C236" s="15" t="n"/>
      <c r="D236" s="16" t="n"/>
      <c r="E236" s="15" t="n"/>
    </row>
    <row r="237">
      <c r="A237" s="14" t="n"/>
      <c r="B237" s="15" t="n"/>
      <c r="C237" s="15" t="n"/>
      <c r="D237" s="16" t="n"/>
      <c r="E237" s="15" t="n"/>
    </row>
    <row r="238">
      <c r="A238" s="14" t="n"/>
      <c r="B238" s="15" t="n"/>
      <c r="C238" s="15" t="n"/>
      <c r="D238" s="16" t="n"/>
      <c r="E238" s="15" t="n"/>
    </row>
    <row r="239">
      <c r="A239" s="14" t="n"/>
      <c r="B239" s="15" t="n"/>
      <c r="C239" s="15" t="n"/>
      <c r="D239" s="16" t="n"/>
      <c r="E239" s="15" t="n"/>
    </row>
    <row r="240">
      <c r="A240" s="14" t="n"/>
      <c r="B240" s="15" t="n"/>
      <c r="C240" s="15" t="n"/>
      <c r="D240" s="16" t="n"/>
      <c r="E240" s="15" t="n"/>
    </row>
    <row r="241">
      <c r="A241" s="14" t="n"/>
      <c r="B241" s="15" t="n"/>
      <c r="C241" s="15" t="n"/>
      <c r="D241" s="16" t="n"/>
      <c r="E241" s="15" t="n"/>
    </row>
    <row r="242">
      <c r="A242" s="14" t="n"/>
      <c r="B242" s="15" t="n"/>
      <c r="C242" s="15" t="n"/>
      <c r="D242" s="16" t="n"/>
      <c r="E242" s="15" t="n"/>
    </row>
    <row r="243">
      <c r="A243" s="14" t="n"/>
      <c r="B243" s="15" t="n"/>
      <c r="C243" s="15" t="n"/>
      <c r="D243" s="16" t="n"/>
      <c r="E243" s="15" t="n"/>
    </row>
    <row r="244">
      <c r="A244" s="14" t="n"/>
      <c r="B244" s="15" t="n"/>
      <c r="C244" s="15" t="n"/>
      <c r="D244" s="16" t="n"/>
      <c r="E244" s="15" t="n"/>
    </row>
    <row r="245">
      <c r="A245" s="14" t="n"/>
      <c r="B245" s="15" t="n"/>
      <c r="C245" s="15" t="n"/>
      <c r="D245" s="16" t="n"/>
      <c r="E245" s="15" t="n"/>
    </row>
    <row r="246">
      <c r="A246" s="14" t="n"/>
      <c r="B246" s="15" t="n"/>
      <c r="C246" s="15" t="n"/>
      <c r="D246" s="16" t="n"/>
      <c r="E246" s="15" t="n"/>
    </row>
    <row r="247">
      <c r="A247" s="14" t="n"/>
      <c r="B247" s="15" t="n"/>
      <c r="C247" s="15" t="n"/>
      <c r="D247" s="16" t="n"/>
      <c r="E247" s="15" t="n"/>
    </row>
    <row r="248">
      <c r="A248" s="14" t="n"/>
      <c r="B248" s="15" t="n"/>
      <c r="C248" s="15" t="n"/>
      <c r="D248" s="16" t="n"/>
      <c r="E248" s="15" t="n"/>
    </row>
    <row r="249">
      <c r="A249" s="14" t="n"/>
      <c r="B249" s="15" t="n"/>
      <c r="C249" s="15" t="n"/>
      <c r="D249" s="16" t="n"/>
      <c r="E249" s="15" t="n"/>
    </row>
    <row r="250">
      <c r="A250" s="14" t="n"/>
      <c r="B250" s="15" t="n"/>
      <c r="C250" s="15" t="n"/>
      <c r="D250" s="16" t="n"/>
      <c r="E250" s="15" t="n"/>
    </row>
    <row r="251">
      <c r="A251" s="14" t="n"/>
      <c r="B251" s="15" t="n"/>
      <c r="C251" s="15" t="n"/>
      <c r="D251" s="16" t="n"/>
      <c r="E251" s="15" t="n"/>
    </row>
    <row r="252">
      <c r="A252" s="14" t="n"/>
      <c r="B252" s="15" t="n"/>
      <c r="C252" s="15" t="n"/>
      <c r="D252" s="16" t="n"/>
      <c r="E252" s="15" t="n"/>
    </row>
    <row r="253">
      <c r="A253" s="14" t="n"/>
      <c r="B253" s="15" t="n"/>
      <c r="C253" s="15" t="n"/>
      <c r="D253" s="16" t="n"/>
      <c r="E253" s="15" t="n"/>
    </row>
    <row r="254">
      <c r="A254" s="14" t="n"/>
      <c r="B254" s="15" t="n"/>
      <c r="C254" s="15" t="n"/>
      <c r="D254" s="16" t="n"/>
      <c r="E254" s="15" t="n"/>
    </row>
    <row r="255">
      <c r="A255" s="14" t="n"/>
      <c r="B255" s="15" t="n"/>
      <c r="C255" s="15" t="n"/>
      <c r="D255" s="16" t="n"/>
      <c r="E255" s="15" t="n"/>
    </row>
    <row r="256">
      <c r="A256" s="14" t="n"/>
      <c r="B256" s="15" t="n"/>
      <c r="C256" s="15" t="n"/>
      <c r="D256" s="16" t="n"/>
      <c r="E256" s="15" t="n"/>
    </row>
    <row r="257">
      <c r="A257" s="14" t="n"/>
      <c r="B257" s="15" t="n"/>
      <c r="C257" s="15" t="n"/>
      <c r="D257" s="16" t="n"/>
      <c r="E257" s="15" t="n"/>
    </row>
    <row r="258">
      <c r="A258" s="14" t="n"/>
      <c r="B258" s="15" t="n"/>
      <c r="C258" s="15" t="n"/>
      <c r="D258" s="16" t="n"/>
      <c r="E258" s="15" t="n"/>
    </row>
    <row r="259">
      <c r="A259" s="14" t="n"/>
      <c r="B259" s="15" t="n"/>
      <c r="C259" s="15" t="n"/>
      <c r="D259" s="16" t="n"/>
      <c r="E259" s="15" t="n"/>
    </row>
    <row r="260">
      <c r="A260" s="14" t="n"/>
      <c r="B260" s="15" t="n"/>
      <c r="C260" s="15" t="n"/>
      <c r="D260" s="16" t="n"/>
      <c r="E260" s="15" t="n"/>
    </row>
    <row r="261">
      <c r="A261" s="14" t="n"/>
      <c r="B261" s="15" t="n"/>
      <c r="C261" s="15" t="n"/>
      <c r="D261" s="16" t="n"/>
      <c r="E261" s="15" t="n"/>
    </row>
    <row r="262">
      <c r="A262" s="14" t="n"/>
      <c r="B262" s="15" t="n"/>
      <c r="C262" s="15" t="n"/>
      <c r="D262" s="16" t="n"/>
      <c r="E262" s="15" t="n"/>
    </row>
    <row r="263">
      <c r="A263" s="14" t="n"/>
      <c r="B263" s="15" t="n"/>
      <c r="C263" s="15" t="n"/>
      <c r="D263" s="16" t="n"/>
      <c r="E263" s="15" t="n"/>
    </row>
    <row r="264">
      <c r="A264" s="14" t="n"/>
      <c r="B264" s="15" t="n"/>
      <c r="C264" s="15" t="n"/>
      <c r="D264" s="16" t="n"/>
      <c r="E264" s="15" t="n"/>
    </row>
    <row r="265">
      <c r="A265" s="14" t="n"/>
      <c r="B265" s="15" t="n"/>
      <c r="C265" s="15" t="n"/>
      <c r="D265" s="16" t="n"/>
      <c r="E265" s="15" t="n"/>
    </row>
    <row r="266">
      <c r="A266" s="14" t="n"/>
      <c r="B266" s="15" t="n"/>
      <c r="C266" s="15" t="n"/>
      <c r="D266" s="16" t="n"/>
      <c r="E266" s="15" t="n"/>
    </row>
    <row r="267">
      <c r="A267" s="14" t="n"/>
      <c r="B267" s="15" t="n"/>
      <c r="C267" s="15" t="n"/>
      <c r="D267" s="16" t="n"/>
      <c r="E267" s="15" t="n"/>
    </row>
    <row r="268">
      <c r="A268" s="14" t="n"/>
      <c r="B268" s="15" t="n"/>
      <c r="C268" s="15" t="n"/>
      <c r="D268" s="16" t="n"/>
      <c r="E268" s="15" t="n"/>
    </row>
    <row r="269">
      <c r="A269" s="14" t="n"/>
      <c r="B269" s="15" t="n"/>
      <c r="C269" s="15" t="n"/>
      <c r="D269" s="16" t="n"/>
      <c r="E269" s="15" t="n"/>
    </row>
    <row r="270">
      <c r="A270" s="14" t="n"/>
      <c r="B270" s="15" t="n"/>
      <c r="C270" s="15" t="n"/>
      <c r="D270" s="16" t="n"/>
      <c r="E270" s="15" t="n"/>
    </row>
    <row r="271">
      <c r="A271" s="14" t="n"/>
      <c r="B271" s="15" t="n"/>
      <c r="C271" s="15" t="n"/>
      <c r="D271" s="16" t="n"/>
      <c r="E271" s="15" t="n"/>
    </row>
    <row r="272">
      <c r="A272" s="14" t="n"/>
      <c r="B272" s="15" t="n"/>
      <c r="C272" s="15" t="n"/>
      <c r="D272" s="16" t="n"/>
      <c r="E272" s="15" t="n"/>
    </row>
    <row r="273">
      <c r="A273" s="14" t="n"/>
      <c r="B273" s="15" t="n"/>
      <c r="C273" s="15" t="n"/>
      <c r="D273" s="16" t="n"/>
      <c r="E273" s="15" t="n"/>
    </row>
    <row r="274">
      <c r="A274" s="14" t="n"/>
      <c r="B274" s="15" t="n"/>
      <c r="C274" s="15" t="n"/>
      <c r="D274" s="16" t="n"/>
      <c r="E274" s="15" t="n"/>
    </row>
    <row r="275">
      <c r="A275" s="14" t="n"/>
      <c r="B275" s="15" t="n"/>
      <c r="C275" s="15" t="n"/>
      <c r="D275" s="16" t="n"/>
      <c r="E275" s="15" t="n"/>
    </row>
    <row r="276">
      <c r="A276" s="14" t="n"/>
      <c r="B276" s="15" t="n"/>
      <c r="C276" s="15" t="n"/>
      <c r="D276" s="16" t="n"/>
      <c r="E276" s="15" t="n"/>
    </row>
    <row r="277">
      <c r="A277" s="14" t="n"/>
      <c r="B277" s="15" t="n"/>
      <c r="C277" s="15" t="n"/>
      <c r="D277" s="16" t="n"/>
      <c r="E277" s="15" t="n"/>
    </row>
    <row r="278">
      <c r="A278" s="14" t="n"/>
      <c r="B278" s="15" t="n"/>
      <c r="C278" s="15" t="n"/>
      <c r="D278" s="16" t="n"/>
      <c r="E278" s="15" t="n"/>
    </row>
    <row r="279">
      <c r="A279" s="14" t="n"/>
      <c r="B279" s="15" t="n"/>
      <c r="C279" s="15" t="n"/>
      <c r="D279" s="16" t="n"/>
      <c r="E279" s="15" t="n"/>
    </row>
    <row r="280">
      <c r="A280" s="14" t="n"/>
      <c r="B280" s="15" t="n"/>
      <c r="C280" s="15" t="n"/>
      <c r="D280" s="16" t="n"/>
      <c r="E280" s="15" t="n"/>
    </row>
    <row r="281">
      <c r="A281" s="14" t="n"/>
      <c r="B281" s="15" t="n"/>
      <c r="C281" s="15" t="n"/>
      <c r="D281" s="16" t="n"/>
      <c r="E281" s="15" t="n"/>
    </row>
    <row r="282">
      <c r="A282" s="14" t="n"/>
      <c r="B282" s="15" t="n"/>
      <c r="C282" s="15" t="n"/>
      <c r="D282" s="16" t="n"/>
      <c r="E282" s="15" t="n"/>
    </row>
    <row r="283">
      <c r="A283" s="14" t="n"/>
      <c r="B283" s="15" t="n"/>
      <c r="C283" s="15" t="n"/>
      <c r="D283" s="16" t="n"/>
      <c r="E283" s="15" t="n"/>
    </row>
    <row r="284">
      <c r="A284" s="14" t="n"/>
      <c r="B284" s="15" t="n"/>
      <c r="C284" s="15" t="n"/>
      <c r="D284" s="16" t="n"/>
      <c r="E284" s="15" t="n"/>
    </row>
    <row r="285">
      <c r="A285" s="14" t="n"/>
      <c r="B285" s="15" t="n"/>
      <c r="C285" s="15" t="n"/>
      <c r="D285" s="16" t="n"/>
      <c r="E285" s="15" t="n"/>
    </row>
    <row r="286">
      <c r="A286" s="14" t="n"/>
      <c r="B286" s="15" t="n"/>
      <c r="C286" s="15" t="n"/>
      <c r="D286" s="16" t="n"/>
      <c r="E286" s="15" t="n"/>
    </row>
    <row r="287">
      <c r="A287" s="14" t="n"/>
      <c r="B287" s="15" t="n"/>
      <c r="C287" s="15" t="n"/>
      <c r="D287" s="16" t="n"/>
      <c r="E287" s="15" t="n"/>
    </row>
    <row r="288">
      <c r="A288" s="14" t="n"/>
      <c r="B288" s="15" t="n"/>
      <c r="C288" s="15" t="n"/>
      <c r="D288" s="16" t="n"/>
      <c r="E288" s="15" t="n"/>
    </row>
    <row r="289">
      <c r="A289" s="14" t="n"/>
      <c r="B289" s="15" t="n"/>
      <c r="C289" s="15" t="n"/>
      <c r="D289" s="16" t="n"/>
      <c r="E289" s="15" t="n"/>
    </row>
    <row r="290">
      <c r="A290" s="14" t="n"/>
      <c r="B290" s="15" t="n"/>
      <c r="C290" s="15" t="n"/>
      <c r="D290" s="16" t="n"/>
      <c r="E290" s="15" t="n"/>
    </row>
    <row r="291">
      <c r="A291" s="14" t="n"/>
      <c r="B291" s="15" t="n"/>
      <c r="C291" s="15" t="n"/>
      <c r="D291" s="16" t="n"/>
      <c r="E291" s="15" t="n"/>
    </row>
    <row r="292">
      <c r="A292" s="14" t="n"/>
      <c r="B292" s="15" t="n"/>
      <c r="C292" s="15" t="n"/>
      <c r="D292" s="16" t="n"/>
      <c r="E292" s="15" t="n"/>
    </row>
    <row r="293">
      <c r="A293" s="14" t="n"/>
      <c r="B293" s="15" t="n"/>
      <c r="C293" s="15" t="n"/>
      <c r="D293" s="16" t="n"/>
      <c r="E293" s="15" t="n"/>
    </row>
    <row r="294">
      <c r="A294" s="14" t="n"/>
      <c r="B294" s="15" t="n"/>
      <c r="C294" s="15" t="n"/>
      <c r="D294" s="16" t="n"/>
      <c r="E294" s="15" t="n"/>
    </row>
    <row r="295">
      <c r="A295" s="14" t="n"/>
      <c r="B295" s="15" t="n"/>
      <c r="C295" s="15" t="n"/>
      <c r="D295" s="16" t="n"/>
      <c r="E295" s="15" t="n"/>
    </row>
    <row r="296">
      <c r="A296" s="14" t="n"/>
      <c r="B296" s="15" t="n"/>
      <c r="C296" s="15" t="n"/>
      <c r="D296" s="16" t="n"/>
      <c r="E296" s="15" t="n"/>
    </row>
    <row r="297">
      <c r="A297" s="14" t="n"/>
      <c r="B297" s="15" t="n"/>
      <c r="C297" s="15" t="n"/>
      <c r="D297" s="16" t="n"/>
      <c r="E297" s="15" t="n"/>
    </row>
    <row r="298">
      <c r="A298" s="14" t="n"/>
      <c r="B298" s="15" t="n"/>
      <c r="C298" s="15" t="n"/>
      <c r="D298" s="16" t="n"/>
      <c r="E298" s="15" t="n"/>
    </row>
    <row r="299">
      <c r="A299" s="14" t="n"/>
      <c r="B299" s="15" t="n"/>
      <c r="C299" s="15" t="n"/>
      <c r="D299" s="16" t="n"/>
      <c r="E299" s="15" t="n"/>
    </row>
    <row r="300">
      <c r="A300" s="14" t="n"/>
      <c r="B300" s="15" t="n"/>
      <c r="C300" s="15" t="n"/>
      <c r="D300" s="16" t="n"/>
      <c r="E300" s="15" t="n"/>
    </row>
    <row r="301">
      <c r="A301" s="14" t="n"/>
      <c r="B301" s="15" t="n"/>
      <c r="C301" s="15" t="n"/>
      <c r="D301" s="16" t="n"/>
      <c r="E301" s="15" t="n"/>
    </row>
    <row r="302">
      <c r="A302" s="14" t="n"/>
      <c r="B302" s="15" t="n"/>
      <c r="C302" s="15" t="n"/>
      <c r="D302" s="16" t="n"/>
      <c r="E302" s="15" t="n"/>
    </row>
    <row r="303">
      <c r="A303" s="14" t="n"/>
      <c r="B303" s="15" t="n"/>
      <c r="C303" s="15" t="n"/>
      <c r="D303" s="16" t="n"/>
      <c r="E303" s="15" t="n"/>
    </row>
    <row r="304">
      <c r="A304" s="14" t="n"/>
      <c r="B304" s="15" t="n"/>
      <c r="C304" s="15" t="n"/>
      <c r="D304" s="16" t="n"/>
      <c r="E304" s="15" t="n"/>
    </row>
    <row r="306">
      <c r="C306" s="17" t="inlineStr">
        <is>
          <t>TOTAL LOGGED</t>
        </is>
      </c>
      <c r="D306" s="18">
        <f>SUM(D5:D304)</f>
        <v/>
      </c>
    </row>
  </sheetData>
  <autoFilter ref="A4:E304"/>
  <dataValidations count="1">
    <dataValidation sqref="B5:B304" showDropDown="0" showInputMessage="0" showErrorMessage="0" allowBlank="1" errorTitle="Unknown category" error="Pick a category from the list on the Start Here tab." type="list">
      <formula1>='Start Here'!$C$10:$C$23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I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6" customWidth="1" min="4" max="4"/>
    <col width="16" customWidth="1" min="5" max="5"/>
    <col width="15" customWidth="1" min="6" max="6"/>
    <col width="16" customWidth="1" min="7" max="7"/>
    <col width="15" customWidth="1" min="8" max="8"/>
    <col width="13" customWidth="1" min="9" max="9"/>
  </cols>
  <sheetData>
    <row r="1">
      <c r="A1" s="1" t="inlineStr">
        <is>
          <t>Weekly Summary — 2026</t>
        </is>
      </c>
    </row>
    <row r="2">
      <c r="A2" s="6" t="inlineStr">
        <is>
          <t>Weeks run Monday to Sunday. Every figure here is calculated from the Income and Expenses tabs.</t>
        </is>
      </c>
    </row>
    <row r="4" ht="28" customHeight="1">
      <c r="A4" s="10" t="inlineStr">
        <is>
          <t>Week</t>
        </is>
      </c>
      <c r="B4" s="10" t="inlineStr">
        <is>
          <t>Week Starting</t>
        </is>
      </c>
      <c r="C4" s="10" t="inlineStr">
        <is>
          <t>Week Ending</t>
        </is>
      </c>
      <c r="D4" s="10">
        <f>CONCATENATE("Income — ",'Start Here'!$C$6)</f>
        <v/>
      </c>
      <c r="E4" s="10">
        <f>CONCATENATE("Income — ",'Start Here'!$C$7)</f>
        <v/>
      </c>
      <c r="F4" s="10" t="inlineStr">
        <is>
          <t>Total Income</t>
        </is>
      </c>
      <c r="G4" s="10" t="inlineStr">
        <is>
          <t>Total Expenses</t>
        </is>
      </c>
      <c r="H4" s="10" t="inlineStr">
        <is>
          <t>Net (Saved)</t>
        </is>
      </c>
      <c r="I4" s="10" t="inlineStr">
        <is>
          <t>Savings Rate</t>
        </is>
      </c>
    </row>
    <row r="5">
      <c r="A5" s="19" t="n">
        <v>1</v>
      </c>
      <c r="B5" s="14" t="n">
        <v>46020</v>
      </c>
      <c r="C5" s="14">
        <f>B5+6</f>
        <v/>
      </c>
      <c r="D5" s="16">
        <f>SUMIFS(Income!$D$5:$D$154,Income!$A$5:$A$154,"&gt;="&amp;$B5,Income!$A$5:$A$154,"&lt;="&amp;$C5,Income!$B$5:$B$154,'Start Here'!$C$6)</f>
        <v/>
      </c>
      <c r="E5" s="16">
        <f>SUMIFS(Income!$D$5:$D$154,Income!$A$5:$A$154,"&gt;="&amp;$B5,Income!$A$5:$A$154,"&lt;="&amp;$C5,Income!$B$5:$B$154,'Start Here'!$C$7)</f>
        <v/>
      </c>
      <c r="F5" s="20">
        <f>D5+E5</f>
        <v/>
      </c>
      <c r="G5" s="16">
        <f>SUMIFS(Expenses!$D$5:$D$304,Expenses!$A$5:$A$304,"&gt;="&amp;$B5,Expenses!$A$5:$A$304,"&lt;="&amp;$C5)</f>
        <v/>
      </c>
      <c r="H5" s="20">
        <f>F5-G5</f>
        <v/>
      </c>
      <c r="I5" s="21">
        <f>IFERROR(H5/F5,"")</f>
        <v/>
      </c>
    </row>
    <row r="6">
      <c r="A6" s="22" t="n">
        <v>2</v>
      </c>
      <c r="B6" s="23" t="n">
        <v>46027</v>
      </c>
      <c r="C6" s="23">
        <f>B6+6</f>
        <v/>
      </c>
      <c r="D6" s="24">
        <f>SUMIFS(Income!$D$5:$D$154,Income!$A$5:$A$154,"&gt;="&amp;$B6,Income!$A$5:$A$154,"&lt;="&amp;$C6,Income!$B$5:$B$154,'Start Here'!$C$6)</f>
        <v/>
      </c>
      <c r="E6" s="24">
        <f>SUMIFS(Income!$D$5:$D$154,Income!$A$5:$A$154,"&gt;="&amp;$B6,Income!$A$5:$A$154,"&lt;="&amp;$C6,Income!$B$5:$B$154,'Start Here'!$C$7)</f>
        <v/>
      </c>
      <c r="F6" s="25">
        <f>D6+E6</f>
        <v/>
      </c>
      <c r="G6" s="24">
        <f>SUMIFS(Expenses!$D$5:$D$304,Expenses!$A$5:$A$304,"&gt;="&amp;$B6,Expenses!$A$5:$A$304,"&lt;="&amp;$C6)</f>
        <v/>
      </c>
      <c r="H6" s="25">
        <f>F6-G6</f>
        <v/>
      </c>
      <c r="I6" s="26">
        <f>IFERROR(H6/F6,"")</f>
        <v/>
      </c>
    </row>
    <row r="7">
      <c r="A7" s="19" t="n">
        <v>3</v>
      </c>
      <c r="B7" s="14" t="n">
        <v>46034</v>
      </c>
      <c r="C7" s="14">
        <f>B7+6</f>
        <v/>
      </c>
      <c r="D7" s="16">
        <f>SUMIFS(Income!$D$5:$D$154,Income!$A$5:$A$154,"&gt;="&amp;$B7,Income!$A$5:$A$154,"&lt;="&amp;$C7,Income!$B$5:$B$154,'Start Here'!$C$6)</f>
        <v/>
      </c>
      <c r="E7" s="16">
        <f>SUMIFS(Income!$D$5:$D$154,Income!$A$5:$A$154,"&gt;="&amp;$B7,Income!$A$5:$A$154,"&lt;="&amp;$C7,Income!$B$5:$B$154,'Start Here'!$C$7)</f>
        <v/>
      </c>
      <c r="F7" s="20">
        <f>D7+E7</f>
        <v/>
      </c>
      <c r="G7" s="16">
        <f>SUMIFS(Expenses!$D$5:$D$304,Expenses!$A$5:$A$304,"&gt;="&amp;$B7,Expenses!$A$5:$A$304,"&lt;="&amp;$C7)</f>
        <v/>
      </c>
      <c r="H7" s="20">
        <f>F7-G7</f>
        <v/>
      </c>
      <c r="I7" s="21">
        <f>IFERROR(H7/F7,"")</f>
        <v/>
      </c>
    </row>
    <row r="8">
      <c r="A8" s="22" t="n">
        <v>4</v>
      </c>
      <c r="B8" s="23" t="n">
        <v>46041</v>
      </c>
      <c r="C8" s="23">
        <f>B8+6</f>
        <v/>
      </c>
      <c r="D8" s="24">
        <f>SUMIFS(Income!$D$5:$D$154,Income!$A$5:$A$154,"&gt;="&amp;$B8,Income!$A$5:$A$154,"&lt;="&amp;$C8,Income!$B$5:$B$154,'Start Here'!$C$6)</f>
        <v/>
      </c>
      <c r="E8" s="24">
        <f>SUMIFS(Income!$D$5:$D$154,Income!$A$5:$A$154,"&gt;="&amp;$B8,Income!$A$5:$A$154,"&lt;="&amp;$C8,Income!$B$5:$B$154,'Start Here'!$C$7)</f>
        <v/>
      </c>
      <c r="F8" s="25">
        <f>D8+E8</f>
        <v/>
      </c>
      <c r="G8" s="24">
        <f>SUMIFS(Expenses!$D$5:$D$304,Expenses!$A$5:$A$304,"&gt;="&amp;$B8,Expenses!$A$5:$A$304,"&lt;="&amp;$C8)</f>
        <v/>
      </c>
      <c r="H8" s="25">
        <f>F8-G8</f>
        <v/>
      </c>
      <c r="I8" s="26">
        <f>IFERROR(H8/F8,"")</f>
        <v/>
      </c>
    </row>
    <row r="9">
      <c r="A9" s="19" t="n">
        <v>5</v>
      </c>
      <c r="B9" s="14" t="n">
        <v>46048</v>
      </c>
      <c r="C9" s="14">
        <f>B9+6</f>
        <v/>
      </c>
      <c r="D9" s="16">
        <f>SUMIFS(Income!$D$5:$D$154,Income!$A$5:$A$154,"&gt;="&amp;$B9,Income!$A$5:$A$154,"&lt;="&amp;$C9,Income!$B$5:$B$154,'Start Here'!$C$6)</f>
        <v/>
      </c>
      <c r="E9" s="16">
        <f>SUMIFS(Income!$D$5:$D$154,Income!$A$5:$A$154,"&gt;="&amp;$B9,Income!$A$5:$A$154,"&lt;="&amp;$C9,Income!$B$5:$B$154,'Start Here'!$C$7)</f>
        <v/>
      </c>
      <c r="F9" s="20">
        <f>D9+E9</f>
        <v/>
      </c>
      <c r="G9" s="16">
        <f>SUMIFS(Expenses!$D$5:$D$304,Expenses!$A$5:$A$304,"&gt;="&amp;$B9,Expenses!$A$5:$A$304,"&lt;="&amp;$C9)</f>
        <v/>
      </c>
      <c r="H9" s="20">
        <f>F9-G9</f>
        <v/>
      </c>
      <c r="I9" s="21">
        <f>IFERROR(H9/F9,"")</f>
        <v/>
      </c>
    </row>
    <row r="10">
      <c r="A10" s="22" t="n">
        <v>6</v>
      </c>
      <c r="B10" s="23" t="n">
        <v>46055</v>
      </c>
      <c r="C10" s="23">
        <f>B10+6</f>
        <v/>
      </c>
      <c r="D10" s="24">
        <f>SUMIFS(Income!$D$5:$D$154,Income!$A$5:$A$154,"&gt;="&amp;$B10,Income!$A$5:$A$154,"&lt;="&amp;$C10,Income!$B$5:$B$154,'Start Here'!$C$6)</f>
        <v/>
      </c>
      <c r="E10" s="24">
        <f>SUMIFS(Income!$D$5:$D$154,Income!$A$5:$A$154,"&gt;="&amp;$B10,Income!$A$5:$A$154,"&lt;="&amp;$C10,Income!$B$5:$B$154,'Start Here'!$C$7)</f>
        <v/>
      </c>
      <c r="F10" s="25">
        <f>D10+E10</f>
        <v/>
      </c>
      <c r="G10" s="24">
        <f>SUMIFS(Expenses!$D$5:$D$304,Expenses!$A$5:$A$304,"&gt;="&amp;$B10,Expenses!$A$5:$A$304,"&lt;="&amp;$C10)</f>
        <v/>
      </c>
      <c r="H10" s="25">
        <f>F10-G10</f>
        <v/>
      </c>
      <c r="I10" s="26">
        <f>IFERROR(H10/F10,"")</f>
        <v/>
      </c>
    </row>
    <row r="11">
      <c r="A11" s="19" t="n">
        <v>7</v>
      </c>
      <c r="B11" s="14" t="n">
        <v>46062</v>
      </c>
      <c r="C11" s="14">
        <f>B11+6</f>
        <v/>
      </c>
      <c r="D11" s="16">
        <f>SUMIFS(Income!$D$5:$D$154,Income!$A$5:$A$154,"&gt;="&amp;$B11,Income!$A$5:$A$154,"&lt;="&amp;$C11,Income!$B$5:$B$154,'Start Here'!$C$6)</f>
        <v/>
      </c>
      <c r="E11" s="16">
        <f>SUMIFS(Income!$D$5:$D$154,Income!$A$5:$A$154,"&gt;="&amp;$B11,Income!$A$5:$A$154,"&lt;="&amp;$C11,Income!$B$5:$B$154,'Start Here'!$C$7)</f>
        <v/>
      </c>
      <c r="F11" s="20">
        <f>D11+E11</f>
        <v/>
      </c>
      <c r="G11" s="16">
        <f>SUMIFS(Expenses!$D$5:$D$304,Expenses!$A$5:$A$304,"&gt;="&amp;$B11,Expenses!$A$5:$A$304,"&lt;="&amp;$C11)</f>
        <v/>
      </c>
      <c r="H11" s="20">
        <f>F11-G11</f>
        <v/>
      </c>
      <c r="I11" s="21">
        <f>IFERROR(H11/F11,"")</f>
        <v/>
      </c>
    </row>
    <row r="12">
      <c r="A12" s="22" t="n">
        <v>8</v>
      </c>
      <c r="B12" s="23" t="n">
        <v>46069</v>
      </c>
      <c r="C12" s="23">
        <f>B12+6</f>
        <v/>
      </c>
      <c r="D12" s="24">
        <f>SUMIFS(Income!$D$5:$D$154,Income!$A$5:$A$154,"&gt;="&amp;$B12,Income!$A$5:$A$154,"&lt;="&amp;$C12,Income!$B$5:$B$154,'Start Here'!$C$6)</f>
        <v/>
      </c>
      <c r="E12" s="24">
        <f>SUMIFS(Income!$D$5:$D$154,Income!$A$5:$A$154,"&gt;="&amp;$B12,Income!$A$5:$A$154,"&lt;="&amp;$C12,Income!$B$5:$B$154,'Start Here'!$C$7)</f>
        <v/>
      </c>
      <c r="F12" s="25">
        <f>D12+E12</f>
        <v/>
      </c>
      <c r="G12" s="24">
        <f>SUMIFS(Expenses!$D$5:$D$304,Expenses!$A$5:$A$304,"&gt;="&amp;$B12,Expenses!$A$5:$A$304,"&lt;="&amp;$C12)</f>
        <v/>
      </c>
      <c r="H12" s="25">
        <f>F12-G12</f>
        <v/>
      </c>
      <c r="I12" s="26">
        <f>IFERROR(H12/F12,"")</f>
        <v/>
      </c>
    </row>
    <row r="13">
      <c r="A13" s="19" t="n">
        <v>9</v>
      </c>
      <c r="B13" s="14" t="n">
        <v>46076</v>
      </c>
      <c r="C13" s="14">
        <f>B13+6</f>
        <v/>
      </c>
      <c r="D13" s="16">
        <f>SUMIFS(Income!$D$5:$D$154,Income!$A$5:$A$154,"&gt;="&amp;$B13,Income!$A$5:$A$154,"&lt;="&amp;$C13,Income!$B$5:$B$154,'Start Here'!$C$6)</f>
        <v/>
      </c>
      <c r="E13" s="16">
        <f>SUMIFS(Income!$D$5:$D$154,Income!$A$5:$A$154,"&gt;="&amp;$B13,Income!$A$5:$A$154,"&lt;="&amp;$C13,Income!$B$5:$B$154,'Start Here'!$C$7)</f>
        <v/>
      </c>
      <c r="F13" s="20">
        <f>D13+E13</f>
        <v/>
      </c>
      <c r="G13" s="16">
        <f>SUMIFS(Expenses!$D$5:$D$304,Expenses!$A$5:$A$304,"&gt;="&amp;$B13,Expenses!$A$5:$A$304,"&lt;="&amp;$C13)</f>
        <v/>
      </c>
      <c r="H13" s="20">
        <f>F13-G13</f>
        <v/>
      </c>
      <c r="I13" s="21">
        <f>IFERROR(H13/F13,"")</f>
        <v/>
      </c>
    </row>
    <row r="14">
      <c r="A14" s="22" t="n">
        <v>10</v>
      </c>
      <c r="B14" s="23" t="n">
        <v>46083</v>
      </c>
      <c r="C14" s="23">
        <f>B14+6</f>
        <v/>
      </c>
      <c r="D14" s="24">
        <f>SUMIFS(Income!$D$5:$D$154,Income!$A$5:$A$154,"&gt;="&amp;$B14,Income!$A$5:$A$154,"&lt;="&amp;$C14,Income!$B$5:$B$154,'Start Here'!$C$6)</f>
        <v/>
      </c>
      <c r="E14" s="24">
        <f>SUMIFS(Income!$D$5:$D$154,Income!$A$5:$A$154,"&gt;="&amp;$B14,Income!$A$5:$A$154,"&lt;="&amp;$C14,Income!$B$5:$B$154,'Start Here'!$C$7)</f>
        <v/>
      </c>
      <c r="F14" s="25">
        <f>D14+E14</f>
        <v/>
      </c>
      <c r="G14" s="24">
        <f>SUMIFS(Expenses!$D$5:$D$304,Expenses!$A$5:$A$304,"&gt;="&amp;$B14,Expenses!$A$5:$A$304,"&lt;="&amp;$C14)</f>
        <v/>
      </c>
      <c r="H14" s="25">
        <f>F14-G14</f>
        <v/>
      </c>
      <c r="I14" s="26">
        <f>IFERROR(H14/F14,"")</f>
        <v/>
      </c>
    </row>
    <row r="15">
      <c r="A15" s="19" t="n">
        <v>11</v>
      </c>
      <c r="B15" s="14" t="n">
        <v>46090</v>
      </c>
      <c r="C15" s="14">
        <f>B15+6</f>
        <v/>
      </c>
      <c r="D15" s="16">
        <f>SUMIFS(Income!$D$5:$D$154,Income!$A$5:$A$154,"&gt;="&amp;$B15,Income!$A$5:$A$154,"&lt;="&amp;$C15,Income!$B$5:$B$154,'Start Here'!$C$6)</f>
        <v/>
      </c>
      <c r="E15" s="16">
        <f>SUMIFS(Income!$D$5:$D$154,Income!$A$5:$A$154,"&gt;="&amp;$B15,Income!$A$5:$A$154,"&lt;="&amp;$C15,Income!$B$5:$B$154,'Start Here'!$C$7)</f>
        <v/>
      </c>
      <c r="F15" s="20">
        <f>D15+E15</f>
        <v/>
      </c>
      <c r="G15" s="16">
        <f>SUMIFS(Expenses!$D$5:$D$304,Expenses!$A$5:$A$304,"&gt;="&amp;$B15,Expenses!$A$5:$A$304,"&lt;="&amp;$C15)</f>
        <v/>
      </c>
      <c r="H15" s="20">
        <f>F15-G15</f>
        <v/>
      </c>
      <c r="I15" s="21">
        <f>IFERROR(H15/F15,"")</f>
        <v/>
      </c>
    </row>
    <row r="16">
      <c r="A16" s="22" t="n">
        <v>12</v>
      </c>
      <c r="B16" s="23" t="n">
        <v>46097</v>
      </c>
      <c r="C16" s="23">
        <f>B16+6</f>
        <v/>
      </c>
      <c r="D16" s="24">
        <f>SUMIFS(Income!$D$5:$D$154,Income!$A$5:$A$154,"&gt;="&amp;$B16,Income!$A$5:$A$154,"&lt;="&amp;$C16,Income!$B$5:$B$154,'Start Here'!$C$6)</f>
        <v/>
      </c>
      <c r="E16" s="24">
        <f>SUMIFS(Income!$D$5:$D$154,Income!$A$5:$A$154,"&gt;="&amp;$B16,Income!$A$5:$A$154,"&lt;="&amp;$C16,Income!$B$5:$B$154,'Start Here'!$C$7)</f>
        <v/>
      </c>
      <c r="F16" s="25">
        <f>D16+E16</f>
        <v/>
      </c>
      <c r="G16" s="24">
        <f>SUMIFS(Expenses!$D$5:$D$304,Expenses!$A$5:$A$304,"&gt;="&amp;$B16,Expenses!$A$5:$A$304,"&lt;="&amp;$C16)</f>
        <v/>
      </c>
      <c r="H16" s="25">
        <f>F16-G16</f>
        <v/>
      </c>
      <c r="I16" s="26">
        <f>IFERROR(H16/F16,"")</f>
        <v/>
      </c>
    </row>
    <row r="17">
      <c r="A17" s="19" t="n">
        <v>13</v>
      </c>
      <c r="B17" s="14" t="n">
        <v>46104</v>
      </c>
      <c r="C17" s="14">
        <f>B17+6</f>
        <v/>
      </c>
      <c r="D17" s="16">
        <f>SUMIFS(Income!$D$5:$D$154,Income!$A$5:$A$154,"&gt;="&amp;$B17,Income!$A$5:$A$154,"&lt;="&amp;$C17,Income!$B$5:$B$154,'Start Here'!$C$6)</f>
        <v/>
      </c>
      <c r="E17" s="16">
        <f>SUMIFS(Income!$D$5:$D$154,Income!$A$5:$A$154,"&gt;="&amp;$B17,Income!$A$5:$A$154,"&lt;="&amp;$C17,Income!$B$5:$B$154,'Start Here'!$C$7)</f>
        <v/>
      </c>
      <c r="F17" s="20">
        <f>D17+E17</f>
        <v/>
      </c>
      <c r="G17" s="16">
        <f>SUMIFS(Expenses!$D$5:$D$304,Expenses!$A$5:$A$304,"&gt;="&amp;$B17,Expenses!$A$5:$A$304,"&lt;="&amp;$C17)</f>
        <v/>
      </c>
      <c r="H17" s="20">
        <f>F17-G17</f>
        <v/>
      </c>
      <c r="I17" s="21">
        <f>IFERROR(H17/F17,"")</f>
        <v/>
      </c>
    </row>
    <row r="18">
      <c r="A18" s="22" t="n">
        <v>14</v>
      </c>
      <c r="B18" s="23" t="n">
        <v>46111</v>
      </c>
      <c r="C18" s="23">
        <f>B18+6</f>
        <v/>
      </c>
      <c r="D18" s="24">
        <f>SUMIFS(Income!$D$5:$D$154,Income!$A$5:$A$154,"&gt;="&amp;$B18,Income!$A$5:$A$154,"&lt;="&amp;$C18,Income!$B$5:$B$154,'Start Here'!$C$6)</f>
        <v/>
      </c>
      <c r="E18" s="24">
        <f>SUMIFS(Income!$D$5:$D$154,Income!$A$5:$A$154,"&gt;="&amp;$B18,Income!$A$5:$A$154,"&lt;="&amp;$C18,Income!$B$5:$B$154,'Start Here'!$C$7)</f>
        <v/>
      </c>
      <c r="F18" s="25">
        <f>D18+E18</f>
        <v/>
      </c>
      <c r="G18" s="24">
        <f>SUMIFS(Expenses!$D$5:$D$304,Expenses!$A$5:$A$304,"&gt;="&amp;$B18,Expenses!$A$5:$A$304,"&lt;="&amp;$C18)</f>
        <v/>
      </c>
      <c r="H18" s="25">
        <f>F18-G18</f>
        <v/>
      </c>
      <c r="I18" s="26">
        <f>IFERROR(H18/F18,"")</f>
        <v/>
      </c>
    </row>
    <row r="19">
      <c r="A19" s="19" t="n">
        <v>15</v>
      </c>
      <c r="B19" s="14" t="n">
        <v>46118</v>
      </c>
      <c r="C19" s="14">
        <f>B19+6</f>
        <v/>
      </c>
      <c r="D19" s="16">
        <f>SUMIFS(Income!$D$5:$D$154,Income!$A$5:$A$154,"&gt;="&amp;$B19,Income!$A$5:$A$154,"&lt;="&amp;$C19,Income!$B$5:$B$154,'Start Here'!$C$6)</f>
        <v/>
      </c>
      <c r="E19" s="16">
        <f>SUMIFS(Income!$D$5:$D$154,Income!$A$5:$A$154,"&gt;="&amp;$B19,Income!$A$5:$A$154,"&lt;="&amp;$C19,Income!$B$5:$B$154,'Start Here'!$C$7)</f>
        <v/>
      </c>
      <c r="F19" s="20">
        <f>D19+E19</f>
        <v/>
      </c>
      <c r="G19" s="16">
        <f>SUMIFS(Expenses!$D$5:$D$304,Expenses!$A$5:$A$304,"&gt;="&amp;$B19,Expenses!$A$5:$A$304,"&lt;="&amp;$C19)</f>
        <v/>
      </c>
      <c r="H19" s="20">
        <f>F19-G19</f>
        <v/>
      </c>
      <c r="I19" s="21">
        <f>IFERROR(H19/F19,"")</f>
        <v/>
      </c>
    </row>
    <row r="20">
      <c r="A20" s="22" t="n">
        <v>16</v>
      </c>
      <c r="B20" s="23" t="n">
        <v>46125</v>
      </c>
      <c r="C20" s="23">
        <f>B20+6</f>
        <v/>
      </c>
      <c r="D20" s="24">
        <f>SUMIFS(Income!$D$5:$D$154,Income!$A$5:$A$154,"&gt;="&amp;$B20,Income!$A$5:$A$154,"&lt;="&amp;$C20,Income!$B$5:$B$154,'Start Here'!$C$6)</f>
        <v/>
      </c>
      <c r="E20" s="24">
        <f>SUMIFS(Income!$D$5:$D$154,Income!$A$5:$A$154,"&gt;="&amp;$B20,Income!$A$5:$A$154,"&lt;="&amp;$C20,Income!$B$5:$B$154,'Start Here'!$C$7)</f>
        <v/>
      </c>
      <c r="F20" s="25">
        <f>D20+E20</f>
        <v/>
      </c>
      <c r="G20" s="24">
        <f>SUMIFS(Expenses!$D$5:$D$304,Expenses!$A$5:$A$304,"&gt;="&amp;$B20,Expenses!$A$5:$A$304,"&lt;="&amp;$C20)</f>
        <v/>
      </c>
      <c r="H20" s="25">
        <f>F20-G20</f>
        <v/>
      </c>
      <c r="I20" s="26">
        <f>IFERROR(H20/F20,"")</f>
        <v/>
      </c>
    </row>
    <row r="21">
      <c r="A21" s="19" t="n">
        <v>17</v>
      </c>
      <c r="B21" s="14" t="n">
        <v>46132</v>
      </c>
      <c r="C21" s="14">
        <f>B21+6</f>
        <v/>
      </c>
      <c r="D21" s="16">
        <f>SUMIFS(Income!$D$5:$D$154,Income!$A$5:$A$154,"&gt;="&amp;$B21,Income!$A$5:$A$154,"&lt;="&amp;$C21,Income!$B$5:$B$154,'Start Here'!$C$6)</f>
        <v/>
      </c>
      <c r="E21" s="16">
        <f>SUMIFS(Income!$D$5:$D$154,Income!$A$5:$A$154,"&gt;="&amp;$B21,Income!$A$5:$A$154,"&lt;="&amp;$C21,Income!$B$5:$B$154,'Start Here'!$C$7)</f>
        <v/>
      </c>
      <c r="F21" s="20">
        <f>D21+E21</f>
        <v/>
      </c>
      <c r="G21" s="16">
        <f>SUMIFS(Expenses!$D$5:$D$304,Expenses!$A$5:$A$304,"&gt;="&amp;$B21,Expenses!$A$5:$A$304,"&lt;="&amp;$C21)</f>
        <v/>
      </c>
      <c r="H21" s="20">
        <f>F21-G21</f>
        <v/>
      </c>
      <c r="I21" s="21">
        <f>IFERROR(H21/F21,"")</f>
        <v/>
      </c>
    </row>
    <row r="22">
      <c r="A22" s="22" t="n">
        <v>18</v>
      </c>
      <c r="B22" s="23" t="n">
        <v>46139</v>
      </c>
      <c r="C22" s="23">
        <f>B22+6</f>
        <v/>
      </c>
      <c r="D22" s="24">
        <f>SUMIFS(Income!$D$5:$D$154,Income!$A$5:$A$154,"&gt;="&amp;$B22,Income!$A$5:$A$154,"&lt;="&amp;$C22,Income!$B$5:$B$154,'Start Here'!$C$6)</f>
        <v/>
      </c>
      <c r="E22" s="24">
        <f>SUMIFS(Income!$D$5:$D$154,Income!$A$5:$A$154,"&gt;="&amp;$B22,Income!$A$5:$A$154,"&lt;="&amp;$C22,Income!$B$5:$B$154,'Start Here'!$C$7)</f>
        <v/>
      </c>
      <c r="F22" s="25">
        <f>D22+E22</f>
        <v/>
      </c>
      <c r="G22" s="24">
        <f>SUMIFS(Expenses!$D$5:$D$304,Expenses!$A$5:$A$304,"&gt;="&amp;$B22,Expenses!$A$5:$A$304,"&lt;="&amp;$C22)</f>
        <v/>
      </c>
      <c r="H22" s="25">
        <f>F22-G22</f>
        <v/>
      </c>
      <c r="I22" s="26">
        <f>IFERROR(H22/F22,"")</f>
        <v/>
      </c>
    </row>
    <row r="23">
      <c r="A23" s="19" t="n">
        <v>19</v>
      </c>
      <c r="B23" s="14" t="n">
        <v>46146</v>
      </c>
      <c r="C23" s="14">
        <f>B23+6</f>
        <v/>
      </c>
      <c r="D23" s="16">
        <f>SUMIFS(Income!$D$5:$D$154,Income!$A$5:$A$154,"&gt;="&amp;$B23,Income!$A$5:$A$154,"&lt;="&amp;$C23,Income!$B$5:$B$154,'Start Here'!$C$6)</f>
        <v/>
      </c>
      <c r="E23" s="16">
        <f>SUMIFS(Income!$D$5:$D$154,Income!$A$5:$A$154,"&gt;="&amp;$B23,Income!$A$5:$A$154,"&lt;="&amp;$C23,Income!$B$5:$B$154,'Start Here'!$C$7)</f>
        <v/>
      </c>
      <c r="F23" s="20">
        <f>D23+E23</f>
        <v/>
      </c>
      <c r="G23" s="16">
        <f>SUMIFS(Expenses!$D$5:$D$304,Expenses!$A$5:$A$304,"&gt;="&amp;$B23,Expenses!$A$5:$A$304,"&lt;="&amp;$C23)</f>
        <v/>
      </c>
      <c r="H23" s="20">
        <f>F23-G23</f>
        <v/>
      </c>
      <c r="I23" s="21">
        <f>IFERROR(H23/F23,"")</f>
        <v/>
      </c>
    </row>
    <row r="24">
      <c r="A24" s="22" t="n">
        <v>20</v>
      </c>
      <c r="B24" s="23" t="n">
        <v>46153</v>
      </c>
      <c r="C24" s="23">
        <f>B24+6</f>
        <v/>
      </c>
      <c r="D24" s="24">
        <f>SUMIFS(Income!$D$5:$D$154,Income!$A$5:$A$154,"&gt;="&amp;$B24,Income!$A$5:$A$154,"&lt;="&amp;$C24,Income!$B$5:$B$154,'Start Here'!$C$6)</f>
        <v/>
      </c>
      <c r="E24" s="24">
        <f>SUMIFS(Income!$D$5:$D$154,Income!$A$5:$A$154,"&gt;="&amp;$B24,Income!$A$5:$A$154,"&lt;="&amp;$C24,Income!$B$5:$B$154,'Start Here'!$C$7)</f>
        <v/>
      </c>
      <c r="F24" s="25">
        <f>D24+E24</f>
        <v/>
      </c>
      <c r="G24" s="24">
        <f>SUMIFS(Expenses!$D$5:$D$304,Expenses!$A$5:$A$304,"&gt;="&amp;$B24,Expenses!$A$5:$A$304,"&lt;="&amp;$C24)</f>
        <v/>
      </c>
      <c r="H24" s="25">
        <f>F24-G24</f>
        <v/>
      </c>
      <c r="I24" s="26">
        <f>IFERROR(H24/F24,"")</f>
        <v/>
      </c>
    </row>
    <row r="25">
      <c r="A25" s="19" t="n">
        <v>21</v>
      </c>
      <c r="B25" s="14" t="n">
        <v>46160</v>
      </c>
      <c r="C25" s="14">
        <f>B25+6</f>
        <v/>
      </c>
      <c r="D25" s="16">
        <f>SUMIFS(Income!$D$5:$D$154,Income!$A$5:$A$154,"&gt;="&amp;$B25,Income!$A$5:$A$154,"&lt;="&amp;$C25,Income!$B$5:$B$154,'Start Here'!$C$6)</f>
        <v/>
      </c>
      <c r="E25" s="16">
        <f>SUMIFS(Income!$D$5:$D$154,Income!$A$5:$A$154,"&gt;="&amp;$B25,Income!$A$5:$A$154,"&lt;="&amp;$C25,Income!$B$5:$B$154,'Start Here'!$C$7)</f>
        <v/>
      </c>
      <c r="F25" s="20">
        <f>D25+E25</f>
        <v/>
      </c>
      <c r="G25" s="16">
        <f>SUMIFS(Expenses!$D$5:$D$304,Expenses!$A$5:$A$304,"&gt;="&amp;$B25,Expenses!$A$5:$A$304,"&lt;="&amp;$C25)</f>
        <v/>
      </c>
      <c r="H25" s="20">
        <f>F25-G25</f>
        <v/>
      </c>
      <c r="I25" s="21">
        <f>IFERROR(H25/F25,"")</f>
        <v/>
      </c>
    </row>
    <row r="26">
      <c r="A26" s="22" t="n">
        <v>22</v>
      </c>
      <c r="B26" s="23" t="n">
        <v>46167</v>
      </c>
      <c r="C26" s="23">
        <f>B26+6</f>
        <v/>
      </c>
      <c r="D26" s="24">
        <f>SUMIFS(Income!$D$5:$D$154,Income!$A$5:$A$154,"&gt;="&amp;$B26,Income!$A$5:$A$154,"&lt;="&amp;$C26,Income!$B$5:$B$154,'Start Here'!$C$6)</f>
        <v/>
      </c>
      <c r="E26" s="24">
        <f>SUMIFS(Income!$D$5:$D$154,Income!$A$5:$A$154,"&gt;="&amp;$B26,Income!$A$5:$A$154,"&lt;="&amp;$C26,Income!$B$5:$B$154,'Start Here'!$C$7)</f>
        <v/>
      </c>
      <c r="F26" s="25">
        <f>D26+E26</f>
        <v/>
      </c>
      <c r="G26" s="24">
        <f>SUMIFS(Expenses!$D$5:$D$304,Expenses!$A$5:$A$304,"&gt;="&amp;$B26,Expenses!$A$5:$A$304,"&lt;="&amp;$C26)</f>
        <v/>
      </c>
      <c r="H26" s="25">
        <f>F26-G26</f>
        <v/>
      </c>
      <c r="I26" s="26">
        <f>IFERROR(H26/F26,"")</f>
        <v/>
      </c>
    </row>
    <row r="27">
      <c r="A27" s="19" t="n">
        <v>23</v>
      </c>
      <c r="B27" s="14" t="n">
        <v>46174</v>
      </c>
      <c r="C27" s="14">
        <f>B27+6</f>
        <v/>
      </c>
      <c r="D27" s="16">
        <f>SUMIFS(Income!$D$5:$D$154,Income!$A$5:$A$154,"&gt;="&amp;$B27,Income!$A$5:$A$154,"&lt;="&amp;$C27,Income!$B$5:$B$154,'Start Here'!$C$6)</f>
        <v/>
      </c>
      <c r="E27" s="16">
        <f>SUMIFS(Income!$D$5:$D$154,Income!$A$5:$A$154,"&gt;="&amp;$B27,Income!$A$5:$A$154,"&lt;="&amp;$C27,Income!$B$5:$B$154,'Start Here'!$C$7)</f>
        <v/>
      </c>
      <c r="F27" s="20">
        <f>D27+E27</f>
        <v/>
      </c>
      <c r="G27" s="16">
        <f>SUMIFS(Expenses!$D$5:$D$304,Expenses!$A$5:$A$304,"&gt;="&amp;$B27,Expenses!$A$5:$A$304,"&lt;="&amp;$C27)</f>
        <v/>
      </c>
      <c r="H27" s="20">
        <f>F27-G27</f>
        <v/>
      </c>
      <c r="I27" s="21">
        <f>IFERROR(H27/F27,"")</f>
        <v/>
      </c>
    </row>
    <row r="28">
      <c r="A28" s="22" t="n">
        <v>24</v>
      </c>
      <c r="B28" s="23" t="n">
        <v>46181</v>
      </c>
      <c r="C28" s="23">
        <f>B28+6</f>
        <v/>
      </c>
      <c r="D28" s="24">
        <f>SUMIFS(Income!$D$5:$D$154,Income!$A$5:$A$154,"&gt;="&amp;$B28,Income!$A$5:$A$154,"&lt;="&amp;$C28,Income!$B$5:$B$154,'Start Here'!$C$6)</f>
        <v/>
      </c>
      <c r="E28" s="24">
        <f>SUMIFS(Income!$D$5:$D$154,Income!$A$5:$A$154,"&gt;="&amp;$B28,Income!$A$5:$A$154,"&lt;="&amp;$C28,Income!$B$5:$B$154,'Start Here'!$C$7)</f>
        <v/>
      </c>
      <c r="F28" s="25">
        <f>D28+E28</f>
        <v/>
      </c>
      <c r="G28" s="24">
        <f>SUMIFS(Expenses!$D$5:$D$304,Expenses!$A$5:$A$304,"&gt;="&amp;$B28,Expenses!$A$5:$A$304,"&lt;="&amp;$C28)</f>
        <v/>
      </c>
      <c r="H28" s="25">
        <f>F28-G28</f>
        <v/>
      </c>
      <c r="I28" s="26">
        <f>IFERROR(H28/F28,"")</f>
        <v/>
      </c>
    </row>
    <row r="29">
      <c r="A29" s="19" t="n">
        <v>25</v>
      </c>
      <c r="B29" s="14" t="n">
        <v>46188</v>
      </c>
      <c r="C29" s="14">
        <f>B29+6</f>
        <v/>
      </c>
      <c r="D29" s="16">
        <f>SUMIFS(Income!$D$5:$D$154,Income!$A$5:$A$154,"&gt;="&amp;$B29,Income!$A$5:$A$154,"&lt;="&amp;$C29,Income!$B$5:$B$154,'Start Here'!$C$6)</f>
        <v/>
      </c>
      <c r="E29" s="16">
        <f>SUMIFS(Income!$D$5:$D$154,Income!$A$5:$A$154,"&gt;="&amp;$B29,Income!$A$5:$A$154,"&lt;="&amp;$C29,Income!$B$5:$B$154,'Start Here'!$C$7)</f>
        <v/>
      </c>
      <c r="F29" s="20">
        <f>D29+E29</f>
        <v/>
      </c>
      <c r="G29" s="16">
        <f>SUMIFS(Expenses!$D$5:$D$304,Expenses!$A$5:$A$304,"&gt;="&amp;$B29,Expenses!$A$5:$A$304,"&lt;="&amp;$C29)</f>
        <v/>
      </c>
      <c r="H29" s="20">
        <f>F29-G29</f>
        <v/>
      </c>
      <c r="I29" s="21">
        <f>IFERROR(H29/F29,"")</f>
        <v/>
      </c>
    </row>
    <row r="30">
      <c r="A30" s="22" t="n">
        <v>26</v>
      </c>
      <c r="B30" s="23" t="n">
        <v>46195</v>
      </c>
      <c r="C30" s="23">
        <f>B30+6</f>
        <v/>
      </c>
      <c r="D30" s="24">
        <f>SUMIFS(Income!$D$5:$D$154,Income!$A$5:$A$154,"&gt;="&amp;$B30,Income!$A$5:$A$154,"&lt;="&amp;$C30,Income!$B$5:$B$154,'Start Here'!$C$6)</f>
        <v/>
      </c>
      <c r="E30" s="24">
        <f>SUMIFS(Income!$D$5:$D$154,Income!$A$5:$A$154,"&gt;="&amp;$B30,Income!$A$5:$A$154,"&lt;="&amp;$C30,Income!$B$5:$B$154,'Start Here'!$C$7)</f>
        <v/>
      </c>
      <c r="F30" s="25">
        <f>D30+E30</f>
        <v/>
      </c>
      <c r="G30" s="24">
        <f>SUMIFS(Expenses!$D$5:$D$304,Expenses!$A$5:$A$304,"&gt;="&amp;$B30,Expenses!$A$5:$A$304,"&lt;="&amp;$C30)</f>
        <v/>
      </c>
      <c r="H30" s="25">
        <f>F30-G30</f>
        <v/>
      </c>
      <c r="I30" s="26">
        <f>IFERROR(H30/F30,"")</f>
        <v/>
      </c>
    </row>
    <row r="31">
      <c r="A31" s="19" t="n">
        <v>27</v>
      </c>
      <c r="B31" s="14" t="n">
        <v>46202</v>
      </c>
      <c r="C31" s="14">
        <f>B31+6</f>
        <v/>
      </c>
      <c r="D31" s="16">
        <f>SUMIFS(Income!$D$5:$D$154,Income!$A$5:$A$154,"&gt;="&amp;$B31,Income!$A$5:$A$154,"&lt;="&amp;$C31,Income!$B$5:$B$154,'Start Here'!$C$6)</f>
        <v/>
      </c>
      <c r="E31" s="16">
        <f>SUMIFS(Income!$D$5:$D$154,Income!$A$5:$A$154,"&gt;="&amp;$B31,Income!$A$5:$A$154,"&lt;="&amp;$C31,Income!$B$5:$B$154,'Start Here'!$C$7)</f>
        <v/>
      </c>
      <c r="F31" s="20">
        <f>D31+E31</f>
        <v/>
      </c>
      <c r="G31" s="16">
        <f>SUMIFS(Expenses!$D$5:$D$304,Expenses!$A$5:$A$304,"&gt;="&amp;$B31,Expenses!$A$5:$A$304,"&lt;="&amp;$C31)</f>
        <v/>
      </c>
      <c r="H31" s="20">
        <f>F31-G31</f>
        <v/>
      </c>
      <c r="I31" s="21">
        <f>IFERROR(H31/F31,"")</f>
        <v/>
      </c>
    </row>
    <row r="32">
      <c r="A32" s="22" t="n">
        <v>28</v>
      </c>
      <c r="B32" s="23" t="n">
        <v>46209</v>
      </c>
      <c r="C32" s="23">
        <f>B32+6</f>
        <v/>
      </c>
      <c r="D32" s="24">
        <f>SUMIFS(Income!$D$5:$D$154,Income!$A$5:$A$154,"&gt;="&amp;$B32,Income!$A$5:$A$154,"&lt;="&amp;$C32,Income!$B$5:$B$154,'Start Here'!$C$6)</f>
        <v/>
      </c>
      <c r="E32" s="24">
        <f>SUMIFS(Income!$D$5:$D$154,Income!$A$5:$A$154,"&gt;="&amp;$B32,Income!$A$5:$A$154,"&lt;="&amp;$C32,Income!$B$5:$B$154,'Start Here'!$C$7)</f>
        <v/>
      </c>
      <c r="F32" s="25">
        <f>D32+E32</f>
        <v/>
      </c>
      <c r="G32" s="24">
        <f>SUMIFS(Expenses!$D$5:$D$304,Expenses!$A$5:$A$304,"&gt;="&amp;$B32,Expenses!$A$5:$A$304,"&lt;="&amp;$C32)</f>
        <v/>
      </c>
      <c r="H32" s="25">
        <f>F32-G32</f>
        <v/>
      </c>
      <c r="I32" s="26">
        <f>IFERROR(H32/F32,"")</f>
        <v/>
      </c>
    </row>
    <row r="33">
      <c r="A33" s="19" t="n">
        <v>29</v>
      </c>
      <c r="B33" s="14" t="n">
        <v>46216</v>
      </c>
      <c r="C33" s="14">
        <f>B33+6</f>
        <v/>
      </c>
      <c r="D33" s="16">
        <f>SUMIFS(Income!$D$5:$D$154,Income!$A$5:$A$154,"&gt;="&amp;$B33,Income!$A$5:$A$154,"&lt;="&amp;$C33,Income!$B$5:$B$154,'Start Here'!$C$6)</f>
        <v/>
      </c>
      <c r="E33" s="16">
        <f>SUMIFS(Income!$D$5:$D$154,Income!$A$5:$A$154,"&gt;="&amp;$B33,Income!$A$5:$A$154,"&lt;="&amp;$C33,Income!$B$5:$B$154,'Start Here'!$C$7)</f>
        <v/>
      </c>
      <c r="F33" s="20">
        <f>D33+E33</f>
        <v/>
      </c>
      <c r="G33" s="16">
        <f>SUMIFS(Expenses!$D$5:$D$304,Expenses!$A$5:$A$304,"&gt;="&amp;$B33,Expenses!$A$5:$A$304,"&lt;="&amp;$C33)</f>
        <v/>
      </c>
      <c r="H33" s="20">
        <f>F33-G33</f>
        <v/>
      </c>
      <c r="I33" s="21">
        <f>IFERROR(H33/F33,"")</f>
        <v/>
      </c>
    </row>
    <row r="34">
      <c r="A34" s="22" t="n">
        <v>30</v>
      </c>
      <c r="B34" s="23" t="n">
        <v>46223</v>
      </c>
      <c r="C34" s="23">
        <f>B34+6</f>
        <v/>
      </c>
      <c r="D34" s="24">
        <f>SUMIFS(Income!$D$5:$D$154,Income!$A$5:$A$154,"&gt;="&amp;$B34,Income!$A$5:$A$154,"&lt;="&amp;$C34,Income!$B$5:$B$154,'Start Here'!$C$6)</f>
        <v/>
      </c>
      <c r="E34" s="24">
        <f>SUMIFS(Income!$D$5:$D$154,Income!$A$5:$A$154,"&gt;="&amp;$B34,Income!$A$5:$A$154,"&lt;="&amp;$C34,Income!$B$5:$B$154,'Start Here'!$C$7)</f>
        <v/>
      </c>
      <c r="F34" s="25">
        <f>D34+E34</f>
        <v/>
      </c>
      <c r="G34" s="24">
        <f>SUMIFS(Expenses!$D$5:$D$304,Expenses!$A$5:$A$304,"&gt;="&amp;$B34,Expenses!$A$5:$A$304,"&lt;="&amp;$C34)</f>
        <v/>
      </c>
      <c r="H34" s="25">
        <f>F34-G34</f>
        <v/>
      </c>
      <c r="I34" s="26">
        <f>IFERROR(H34/F34,"")</f>
        <v/>
      </c>
    </row>
    <row r="35">
      <c r="A35" s="19" t="n">
        <v>31</v>
      </c>
      <c r="B35" s="14" t="n">
        <v>46230</v>
      </c>
      <c r="C35" s="14">
        <f>B35+6</f>
        <v/>
      </c>
      <c r="D35" s="16">
        <f>SUMIFS(Income!$D$5:$D$154,Income!$A$5:$A$154,"&gt;="&amp;$B35,Income!$A$5:$A$154,"&lt;="&amp;$C35,Income!$B$5:$B$154,'Start Here'!$C$6)</f>
        <v/>
      </c>
      <c r="E35" s="16">
        <f>SUMIFS(Income!$D$5:$D$154,Income!$A$5:$A$154,"&gt;="&amp;$B35,Income!$A$5:$A$154,"&lt;="&amp;$C35,Income!$B$5:$B$154,'Start Here'!$C$7)</f>
        <v/>
      </c>
      <c r="F35" s="20">
        <f>D35+E35</f>
        <v/>
      </c>
      <c r="G35" s="16">
        <f>SUMIFS(Expenses!$D$5:$D$304,Expenses!$A$5:$A$304,"&gt;="&amp;$B35,Expenses!$A$5:$A$304,"&lt;="&amp;$C35)</f>
        <v/>
      </c>
      <c r="H35" s="20">
        <f>F35-G35</f>
        <v/>
      </c>
      <c r="I35" s="21">
        <f>IFERROR(H35/F35,"")</f>
        <v/>
      </c>
    </row>
    <row r="36">
      <c r="A36" s="22" t="n">
        <v>32</v>
      </c>
      <c r="B36" s="23" t="n">
        <v>46237</v>
      </c>
      <c r="C36" s="23">
        <f>B36+6</f>
        <v/>
      </c>
      <c r="D36" s="24">
        <f>SUMIFS(Income!$D$5:$D$154,Income!$A$5:$A$154,"&gt;="&amp;$B36,Income!$A$5:$A$154,"&lt;="&amp;$C36,Income!$B$5:$B$154,'Start Here'!$C$6)</f>
        <v/>
      </c>
      <c r="E36" s="24">
        <f>SUMIFS(Income!$D$5:$D$154,Income!$A$5:$A$154,"&gt;="&amp;$B36,Income!$A$5:$A$154,"&lt;="&amp;$C36,Income!$B$5:$B$154,'Start Here'!$C$7)</f>
        <v/>
      </c>
      <c r="F36" s="25">
        <f>D36+E36</f>
        <v/>
      </c>
      <c r="G36" s="24">
        <f>SUMIFS(Expenses!$D$5:$D$304,Expenses!$A$5:$A$304,"&gt;="&amp;$B36,Expenses!$A$5:$A$304,"&lt;="&amp;$C36)</f>
        <v/>
      </c>
      <c r="H36" s="25">
        <f>F36-G36</f>
        <v/>
      </c>
      <c r="I36" s="26">
        <f>IFERROR(H36/F36,"")</f>
        <v/>
      </c>
    </row>
    <row r="37">
      <c r="A37" s="19" t="n">
        <v>33</v>
      </c>
      <c r="B37" s="14" t="n">
        <v>46244</v>
      </c>
      <c r="C37" s="14">
        <f>B37+6</f>
        <v/>
      </c>
      <c r="D37" s="16">
        <f>SUMIFS(Income!$D$5:$D$154,Income!$A$5:$A$154,"&gt;="&amp;$B37,Income!$A$5:$A$154,"&lt;="&amp;$C37,Income!$B$5:$B$154,'Start Here'!$C$6)</f>
        <v/>
      </c>
      <c r="E37" s="16">
        <f>SUMIFS(Income!$D$5:$D$154,Income!$A$5:$A$154,"&gt;="&amp;$B37,Income!$A$5:$A$154,"&lt;="&amp;$C37,Income!$B$5:$B$154,'Start Here'!$C$7)</f>
        <v/>
      </c>
      <c r="F37" s="20">
        <f>D37+E37</f>
        <v/>
      </c>
      <c r="G37" s="16">
        <f>SUMIFS(Expenses!$D$5:$D$304,Expenses!$A$5:$A$304,"&gt;="&amp;$B37,Expenses!$A$5:$A$304,"&lt;="&amp;$C37)</f>
        <v/>
      </c>
      <c r="H37" s="20">
        <f>F37-G37</f>
        <v/>
      </c>
      <c r="I37" s="21">
        <f>IFERROR(H37/F37,"")</f>
        <v/>
      </c>
    </row>
    <row r="38">
      <c r="A38" s="22" t="n">
        <v>34</v>
      </c>
      <c r="B38" s="23" t="n">
        <v>46251</v>
      </c>
      <c r="C38" s="23">
        <f>B38+6</f>
        <v/>
      </c>
      <c r="D38" s="24">
        <f>SUMIFS(Income!$D$5:$D$154,Income!$A$5:$A$154,"&gt;="&amp;$B38,Income!$A$5:$A$154,"&lt;="&amp;$C38,Income!$B$5:$B$154,'Start Here'!$C$6)</f>
        <v/>
      </c>
      <c r="E38" s="24">
        <f>SUMIFS(Income!$D$5:$D$154,Income!$A$5:$A$154,"&gt;="&amp;$B38,Income!$A$5:$A$154,"&lt;="&amp;$C38,Income!$B$5:$B$154,'Start Here'!$C$7)</f>
        <v/>
      </c>
      <c r="F38" s="25">
        <f>D38+E38</f>
        <v/>
      </c>
      <c r="G38" s="24">
        <f>SUMIFS(Expenses!$D$5:$D$304,Expenses!$A$5:$A$304,"&gt;="&amp;$B38,Expenses!$A$5:$A$304,"&lt;="&amp;$C38)</f>
        <v/>
      </c>
      <c r="H38" s="25">
        <f>F38-G38</f>
        <v/>
      </c>
      <c r="I38" s="26">
        <f>IFERROR(H38/F38,"")</f>
        <v/>
      </c>
    </row>
    <row r="39">
      <c r="A39" s="19" t="n">
        <v>35</v>
      </c>
      <c r="B39" s="14" t="n">
        <v>46258</v>
      </c>
      <c r="C39" s="14">
        <f>B39+6</f>
        <v/>
      </c>
      <c r="D39" s="16">
        <f>SUMIFS(Income!$D$5:$D$154,Income!$A$5:$A$154,"&gt;="&amp;$B39,Income!$A$5:$A$154,"&lt;="&amp;$C39,Income!$B$5:$B$154,'Start Here'!$C$6)</f>
        <v/>
      </c>
      <c r="E39" s="16">
        <f>SUMIFS(Income!$D$5:$D$154,Income!$A$5:$A$154,"&gt;="&amp;$B39,Income!$A$5:$A$154,"&lt;="&amp;$C39,Income!$B$5:$B$154,'Start Here'!$C$7)</f>
        <v/>
      </c>
      <c r="F39" s="20">
        <f>D39+E39</f>
        <v/>
      </c>
      <c r="G39" s="16">
        <f>SUMIFS(Expenses!$D$5:$D$304,Expenses!$A$5:$A$304,"&gt;="&amp;$B39,Expenses!$A$5:$A$304,"&lt;="&amp;$C39)</f>
        <v/>
      </c>
      <c r="H39" s="20">
        <f>F39-G39</f>
        <v/>
      </c>
      <c r="I39" s="21">
        <f>IFERROR(H39/F39,"")</f>
        <v/>
      </c>
    </row>
    <row r="40">
      <c r="A40" s="22" t="n">
        <v>36</v>
      </c>
      <c r="B40" s="23" t="n">
        <v>46265</v>
      </c>
      <c r="C40" s="23">
        <f>B40+6</f>
        <v/>
      </c>
      <c r="D40" s="24">
        <f>SUMIFS(Income!$D$5:$D$154,Income!$A$5:$A$154,"&gt;="&amp;$B40,Income!$A$5:$A$154,"&lt;="&amp;$C40,Income!$B$5:$B$154,'Start Here'!$C$6)</f>
        <v/>
      </c>
      <c r="E40" s="24">
        <f>SUMIFS(Income!$D$5:$D$154,Income!$A$5:$A$154,"&gt;="&amp;$B40,Income!$A$5:$A$154,"&lt;="&amp;$C40,Income!$B$5:$B$154,'Start Here'!$C$7)</f>
        <v/>
      </c>
      <c r="F40" s="25">
        <f>D40+E40</f>
        <v/>
      </c>
      <c r="G40" s="24">
        <f>SUMIFS(Expenses!$D$5:$D$304,Expenses!$A$5:$A$304,"&gt;="&amp;$B40,Expenses!$A$5:$A$304,"&lt;="&amp;$C40)</f>
        <v/>
      </c>
      <c r="H40" s="25">
        <f>F40-G40</f>
        <v/>
      </c>
      <c r="I40" s="26">
        <f>IFERROR(H40/F40,"")</f>
        <v/>
      </c>
    </row>
    <row r="41">
      <c r="A41" s="19" t="n">
        <v>37</v>
      </c>
      <c r="B41" s="14" t="n">
        <v>46272</v>
      </c>
      <c r="C41" s="14">
        <f>B41+6</f>
        <v/>
      </c>
      <c r="D41" s="16">
        <f>SUMIFS(Income!$D$5:$D$154,Income!$A$5:$A$154,"&gt;="&amp;$B41,Income!$A$5:$A$154,"&lt;="&amp;$C41,Income!$B$5:$B$154,'Start Here'!$C$6)</f>
        <v/>
      </c>
      <c r="E41" s="16">
        <f>SUMIFS(Income!$D$5:$D$154,Income!$A$5:$A$154,"&gt;="&amp;$B41,Income!$A$5:$A$154,"&lt;="&amp;$C41,Income!$B$5:$B$154,'Start Here'!$C$7)</f>
        <v/>
      </c>
      <c r="F41" s="20">
        <f>D41+E41</f>
        <v/>
      </c>
      <c r="G41" s="16">
        <f>SUMIFS(Expenses!$D$5:$D$304,Expenses!$A$5:$A$304,"&gt;="&amp;$B41,Expenses!$A$5:$A$304,"&lt;="&amp;$C41)</f>
        <v/>
      </c>
      <c r="H41" s="20">
        <f>F41-G41</f>
        <v/>
      </c>
      <c r="I41" s="21">
        <f>IFERROR(H41/F41,"")</f>
        <v/>
      </c>
    </row>
    <row r="42">
      <c r="A42" s="22" t="n">
        <v>38</v>
      </c>
      <c r="B42" s="23" t="n">
        <v>46279</v>
      </c>
      <c r="C42" s="23">
        <f>B42+6</f>
        <v/>
      </c>
      <c r="D42" s="24">
        <f>SUMIFS(Income!$D$5:$D$154,Income!$A$5:$A$154,"&gt;="&amp;$B42,Income!$A$5:$A$154,"&lt;="&amp;$C42,Income!$B$5:$B$154,'Start Here'!$C$6)</f>
        <v/>
      </c>
      <c r="E42" s="24">
        <f>SUMIFS(Income!$D$5:$D$154,Income!$A$5:$A$154,"&gt;="&amp;$B42,Income!$A$5:$A$154,"&lt;="&amp;$C42,Income!$B$5:$B$154,'Start Here'!$C$7)</f>
        <v/>
      </c>
      <c r="F42" s="25">
        <f>D42+E42</f>
        <v/>
      </c>
      <c r="G42" s="24">
        <f>SUMIFS(Expenses!$D$5:$D$304,Expenses!$A$5:$A$304,"&gt;="&amp;$B42,Expenses!$A$5:$A$304,"&lt;="&amp;$C42)</f>
        <v/>
      </c>
      <c r="H42" s="25">
        <f>F42-G42</f>
        <v/>
      </c>
      <c r="I42" s="26">
        <f>IFERROR(H42/F42,"")</f>
        <v/>
      </c>
    </row>
    <row r="43">
      <c r="A43" s="19" t="n">
        <v>39</v>
      </c>
      <c r="B43" s="14" t="n">
        <v>46286</v>
      </c>
      <c r="C43" s="14">
        <f>B43+6</f>
        <v/>
      </c>
      <c r="D43" s="16">
        <f>SUMIFS(Income!$D$5:$D$154,Income!$A$5:$A$154,"&gt;="&amp;$B43,Income!$A$5:$A$154,"&lt;="&amp;$C43,Income!$B$5:$B$154,'Start Here'!$C$6)</f>
        <v/>
      </c>
      <c r="E43" s="16">
        <f>SUMIFS(Income!$D$5:$D$154,Income!$A$5:$A$154,"&gt;="&amp;$B43,Income!$A$5:$A$154,"&lt;="&amp;$C43,Income!$B$5:$B$154,'Start Here'!$C$7)</f>
        <v/>
      </c>
      <c r="F43" s="20">
        <f>D43+E43</f>
        <v/>
      </c>
      <c r="G43" s="16">
        <f>SUMIFS(Expenses!$D$5:$D$304,Expenses!$A$5:$A$304,"&gt;="&amp;$B43,Expenses!$A$5:$A$304,"&lt;="&amp;$C43)</f>
        <v/>
      </c>
      <c r="H43" s="20">
        <f>F43-G43</f>
        <v/>
      </c>
      <c r="I43" s="21">
        <f>IFERROR(H43/F43,"")</f>
        <v/>
      </c>
    </row>
    <row r="44">
      <c r="A44" s="22" t="n">
        <v>40</v>
      </c>
      <c r="B44" s="23" t="n">
        <v>46293</v>
      </c>
      <c r="C44" s="23">
        <f>B44+6</f>
        <v/>
      </c>
      <c r="D44" s="24">
        <f>SUMIFS(Income!$D$5:$D$154,Income!$A$5:$A$154,"&gt;="&amp;$B44,Income!$A$5:$A$154,"&lt;="&amp;$C44,Income!$B$5:$B$154,'Start Here'!$C$6)</f>
        <v/>
      </c>
      <c r="E44" s="24">
        <f>SUMIFS(Income!$D$5:$D$154,Income!$A$5:$A$154,"&gt;="&amp;$B44,Income!$A$5:$A$154,"&lt;="&amp;$C44,Income!$B$5:$B$154,'Start Here'!$C$7)</f>
        <v/>
      </c>
      <c r="F44" s="25">
        <f>D44+E44</f>
        <v/>
      </c>
      <c r="G44" s="24">
        <f>SUMIFS(Expenses!$D$5:$D$304,Expenses!$A$5:$A$304,"&gt;="&amp;$B44,Expenses!$A$5:$A$304,"&lt;="&amp;$C44)</f>
        <v/>
      </c>
      <c r="H44" s="25">
        <f>F44-G44</f>
        <v/>
      </c>
      <c r="I44" s="26">
        <f>IFERROR(H44/F44,"")</f>
        <v/>
      </c>
    </row>
    <row r="45">
      <c r="A45" s="19" t="n">
        <v>41</v>
      </c>
      <c r="B45" s="14" t="n">
        <v>46300</v>
      </c>
      <c r="C45" s="14">
        <f>B45+6</f>
        <v/>
      </c>
      <c r="D45" s="16">
        <f>SUMIFS(Income!$D$5:$D$154,Income!$A$5:$A$154,"&gt;="&amp;$B45,Income!$A$5:$A$154,"&lt;="&amp;$C45,Income!$B$5:$B$154,'Start Here'!$C$6)</f>
        <v/>
      </c>
      <c r="E45" s="16">
        <f>SUMIFS(Income!$D$5:$D$154,Income!$A$5:$A$154,"&gt;="&amp;$B45,Income!$A$5:$A$154,"&lt;="&amp;$C45,Income!$B$5:$B$154,'Start Here'!$C$7)</f>
        <v/>
      </c>
      <c r="F45" s="20">
        <f>D45+E45</f>
        <v/>
      </c>
      <c r="G45" s="16">
        <f>SUMIFS(Expenses!$D$5:$D$304,Expenses!$A$5:$A$304,"&gt;="&amp;$B45,Expenses!$A$5:$A$304,"&lt;="&amp;$C45)</f>
        <v/>
      </c>
      <c r="H45" s="20">
        <f>F45-G45</f>
        <v/>
      </c>
      <c r="I45" s="21">
        <f>IFERROR(H45/F45,"")</f>
        <v/>
      </c>
    </row>
    <row r="46">
      <c r="A46" s="22" t="n">
        <v>42</v>
      </c>
      <c r="B46" s="23" t="n">
        <v>46307</v>
      </c>
      <c r="C46" s="23">
        <f>B46+6</f>
        <v/>
      </c>
      <c r="D46" s="24">
        <f>SUMIFS(Income!$D$5:$D$154,Income!$A$5:$A$154,"&gt;="&amp;$B46,Income!$A$5:$A$154,"&lt;="&amp;$C46,Income!$B$5:$B$154,'Start Here'!$C$6)</f>
        <v/>
      </c>
      <c r="E46" s="24">
        <f>SUMIFS(Income!$D$5:$D$154,Income!$A$5:$A$154,"&gt;="&amp;$B46,Income!$A$5:$A$154,"&lt;="&amp;$C46,Income!$B$5:$B$154,'Start Here'!$C$7)</f>
        <v/>
      </c>
      <c r="F46" s="25">
        <f>D46+E46</f>
        <v/>
      </c>
      <c r="G46" s="24">
        <f>SUMIFS(Expenses!$D$5:$D$304,Expenses!$A$5:$A$304,"&gt;="&amp;$B46,Expenses!$A$5:$A$304,"&lt;="&amp;$C46)</f>
        <v/>
      </c>
      <c r="H46" s="25">
        <f>F46-G46</f>
        <v/>
      </c>
      <c r="I46" s="26">
        <f>IFERROR(H46/F46,"")</f>
        <v/>
      </c>
    </row>
    <row r="47">
      <c r="A47" s="19" t="n">
        <v>43</v>
      </c>
      <c r="B47" s="14" t="n">
        <v>46314</v>
      </c>
      <c r="C47" s="14">
        <f>B47+6</f>
        <v/>
      </c>
      <c r="D47" s="16">
        <f>SUMIFS(Income!$D$5:$D$154,Income!$A$5:$A$154,"&gt;="&amp;$B47,Income!$A$5:$A$154,"&lt;="&amp;$C47,Income!$B$5:$B$154,'Start Here'!$C$6)</f>
        <v/>
      </c>
      <c r="E47" s="16">
        <f>SUMIFS(Income!$D$5:$D$154,Income!$A$5:$A$154,"&gt;="&amp;$B47,Income!$A$5:$A$154,"&lt;="&amp;$C47,Income!$B$5:$B$154,'Start Here'!$C$7)</f>
        <v/>
      </c>
      <c r="F47" s="20">
        <f>D47+E47</f>
        <v/>
      </c>
      <c r="G47" s="16">
        <f>SUMIFS(Expenses!$D$5:$D$304,Expenses!$A$5:$A$304,"&gt;="&amp;$B47,Expenses!$A$5:$A$304,"&lt;="&amp;$C47)</f>
        <v/>
      </c>
      <c r="H47" s="20">
        <f>F47-G47</f>
        <v/>
      </c>
      <c r="I47" s="21">
        <f>IFERROR(H47/F47,"")</f>
        <v/>
      </c>
    </row>
    <row r="48">
      <c r="A48" s="22" t="n">
        <v>44</v>
      </c>
      <c r="B48" s="23" t="n">
        <v>46321</v>
      </c>
      <c r="C48" s="23">
        <f>B48+6</f>
        <v/>
      </c>
      <c r="D48" s="24">
        <f>SUMIFS(Income!$D$5:$D$154,Income!$A$5:$A$154,"&gt;="&amp;$B48,Income!$A$5:$A$154,"&lt;="&amp;$C48,Income!$B$5:$B$154,'Start Here'!$C$6)</f>
        <v/>
      </c>
      <c r="E48" s="24">
        <f>SUMIFS(Income!$D$5:$D$154,Income!$A$5:$A$154,"&gt;="&amp;$B48,Income!$A$5:$A$154,"&lt;="&amp;$C48,Income!$B$5:$B$154,'Start Here'!$C$7)</f>
        <v/>
      </c>
      <c r="F48" s="25">
        <f>D48+E48</f>
        <v/>
      </c>
      <c r="G48" s="24">
        <f>SUMIFS(Expenses!$D$5:$D$304,Expenses!$A$5:$A$304,"&gt;="&amp;$B48,Expenses!$A$5:$A$304,"&lt;="&amp;$C48)</f>
        <v/>
      </c>
      <c r="H48" s="25">
        <f>F48-G48</f>
        <v/>
      </c>
      <c r="I48" s="26">
        <f>IFERROR(H48/F48,"")</f>
        <v/>
      </c>
    </row>
    <row r="49">
      <c r="A49" s="19" t="n">
        <v>45</v>
      </c>
      <c r="B49" s="14" t="n">
        <v>46328</v>
      </c>
      <c r="C49" s="14">
        <f>B49+6</f>
        <v/>
      </c>
      <c r="D49" s="16">
        <f>SUMIFS(Income!$D$5:$D$154,Income!$A$5:$A$154,"&gt;="&amp;$B49,Income!$A$5:$A$154,"&lt;="&amp;$C49,Income!$B$5:$B$154,'Start Here'!$C$6)</f>
        <v/>
      </c>
      <c r="E49" s="16">
        <f>SUMIFS(Income!$D$5:$D$154,Income!$A$5:$A$154,"&gt;="&amp;$B49,Income!$A$5:$A$154,"&lt;="&amp;$C49,Income!$B$5:$B$154,'Start Here'!$C$7)</f>
        <v/>
      </c>
      <c r="F49" s="20">
        <f>D49+E49</f>
        <v/>
      </c>
      <c r="G49" s="16">
        <f>SUMIFS(Expenses!$D$5:$D$304,Expenses!$A$5:$A$304,"&gt;="&amp;$B49,Expenses!$A$5:$A$304,"&lt;="&amp;$C49)</f>
        <v/>
      </c>
      <c r="H49" s="20">
        <f>F49-G49</f>
        <v/>
      </c>
      <c r="I49" s="21">
        <f>IFERROR(H49/F49,"")</f>
        <v/>
      </c>
    </row>
    <row r="50">
      <c r="A50" s="22" t="n">
        <v>46</v>
      </c>
      <c r="B50" s="23" t="n">
        <v>46335</v>
      </c>
      <c r="C50" s="23">
        <f>B50+6</f>
        <v/>
      </c>
      <c r="D50" s="24">
        <f>SUMIFS(Income!$D$5:$D$154,Income!$A$5:$A$154,"&gt;="&amp;$B50,Income!$A$5:$A$154,"&lt;="&amp;$C50,Income!$B$5:$B$154,'Start Here'!$C$6)</f>
        <v/>
      </c>
      <c r="E50" s="24">
        <f>SUMIFS(Income!$D$5:$D$154,Income!$A$5:$A$154,"&gt;="&amp;$B50,Income!$A$5:$A$154,"&lt;="&amp;$C50,Income!$B$5:$B$154,'Start Here'!$C$7)</f>
        <v/>
      </c>
      <c r="F50" s="25">
        <f>D50+E50</f>
        <v/>
      </c>
      <c r="G50" s="24">
        <f>SUMIFS(Expenses!$D$5:$D$304,Expenses!$A$5:$A$304,"&gt;="&amp;$B50,Expenses!$A$5:$A$304,"&lt;="&amp;$C50)</f>
        <v/>
      </c>
      <c r="H50" s="25">
        <f>F50-G50</f>
        <v/>
      </c>
      <c r="I50" s="26">
        <f>IFERROR(H50/F50,"")</f>
        <v/>
      </c>
    </row>
    <row r="51">
      <c r="A51" s="19" t="n">
        <v>47</v>
      </c>
      <c r="B51" s="14" t="n">
        <v>46342</v>
      </c>
      <c r="C51" s="14">
        <f>B51+6</f>
        <v/>
      </c>
      <c r="D51" s="16">
        <f>SUMIFS(Income!$D$5:$D$154,Income!$A$5:$A$154,"&gt;="&amp;$B51,Income!$A$5:$A$154,"&lt;="&amp;$C51,Income!$B$5:$B$154,'Start Here'!$C$6)</f>
        <v/>
      </c>
      <c r="E51" s="16">
        <f>SUMIFS(Income!$D$5:$D$154,Income!$A$5:$A$154,"&gt;="&amp;$B51,Income!$A$5:$A$154,"&lt;="&amp;$C51,Income!$B$5:$B$154,'Start Here'!$C$7)</f>
        <v/>
      </c>
      <c r="F51" s="20">
        <f>D51+E51</f>
        <v/>
      </c>
      <c r="G51" s="16">
        <f>SUMIFS(Expenses!$D$5:$D$304,Expenses!$A$5:$A$304,"&gt;="&amp;$B51,Expenses!$A$5:$A$304,"&lt;="&amp;$C51)</f>
        <v/>
      </c>
      <c r="H51" s="20">
        <f>F51-G51</f>
        <v/>
      </c>
      <c r="I51" s="21">
        <f>IFERROR(H51/F51,"")</f>
        <v/>
      </c>
    </row>
    <row r="52">
      <c r="A52" s="22" t="n">
        <v>48</v>
      </c>
      <c r="B52" s="23" t="n">
        <v>46349</v>
      </c>
      <c r="C52" s="23">
        <f>B52+6</f>
        <v/>
      </c>
      <c r="D52" s="24">
        <f>SUMIFS(Income!$D$5:$D$154,Income!$A$5:$A$154,"&gt;="&amp;$B52,Income!$A$5:$A$154,"&lt;="&amp;$C52,Income!$B$5:$B$154,'Start Here'!$C$6)</f>
        <v/>
      </c>
      <c r="E52" s="24">
        <f>SUMIFS(Income!$D$5:$D$154,Income!$A$5:$A$154,"&gt;="&amp;$B52,Income!$A$5:$A$154,"&lt;="&amp;$C52,Income!$B$5:$B$154,'Start Here'!$C$7)</f>
        <v/>
      </c>
      <c r="F52" s="25">
        <f>D52+E52</f>
        <v/>
      </c>
      <c r="G52" s="24">
        <f>SUMIFS(Expenses!$D$5:$D$304,Expenses!$A$5:$A$304,"&gt;="&amp;$B52,Expenses!$A$5:$A$304,"&lt;="&amp;$C52)</f>
        <v/>
      </c>
      <c r="H52" s="25">
        <f>F52-G52</f>
        <v/>
      </c>
      <c r="I52" s="26">
        <f>IFERROR(H52/F52,"")</f>
        <v/>
      </c>
    </row>
    <row r="53">
      <c r="A53" s="19" t="n">
        <v>49</v>
      </c>
      <c r="B53" s="14" t="n">
        <v>46356</v>
      </c>
      <c r="C53" s="14">
        <f>B53+6</f>
        <v/>
      </c>
      <c r="D53" s="16">
        <f>SUMIFS(Income!$D$5:$D$154,Income!$A$5:$A$154,"&gt;="&amp;$B53,Income!$A$5:$A$154,"&lt;="&amp;$C53,Income!$B$5:$B$154,'Start Here'!$C$6)</f>
        <v/>
      </c>
      <c r="E53" s="16">
        <f>SUMIFS(Income!$D$5:$D$154,Income!$A$5:$A$154,"&gt;="&amp;$B53,Income!$A$5:$A$154,"&lt;="&amp;$C53,Income!$B$5:$B$154,'Start Here'!$C$7)</f>
        <v/>
      </c>
      <c r="F53" s="20">
        <f>D53+E53</f>
        <v/>
      </c>
      <c r="G53" s="16">
        <f>SUMIFS(Expenses!$D$5:$D$304,Expenses!$A$5:$A$304,"&gt;="&amp;$B53,Expenses!$A$5:$A$304,"&lt;="&amp;$C53)</f>
        <v/>
      </c>
      <c r="H53" s="20">
        <f>F53-G53</f>
        <v/>
      </c>
      <c r="I53" s="21">
        <f>IFERROR(H53/F53,"")</f>
        <v/>
      </c>
    </row>
    <row r="54">
      <c r="A54" s="22" t="n">
        <v>50</v>
      </c>
      <c r="B54" s="23" t="n">
        <v>46363</v>
      </c>
      <c r="C54" s="23">
        <f>B54+6</f>
        <v/>
      </c>
      <c r="D54" s="24">
        <f>SUMIFS(Income!$D$5:$D$154,Income!$A$5:$A$154,"&gt;="&amp;$B54,Income!$A$5:$A$154,"&lt;="&amp;$C54,Income!$B$5:$B$154,'Start Here'!$C$6)</f>
        <v/>
      </c>
      <c r="E54" s="24">
        <f>SUMIFS(Income!$D$5:$D$154,Income!$A$5:$A$154,"&gt;="&amp;$B54,Income!$A$5:$A$154,"&lt;="&amp;$C54,Income!$B$5:$B$154,'Start Here'!$C$7)</f>
        <v/>
      </c>
      <c r="F54" s="25">
        <f>D54+E54</f>
        <v/>
      </c>
      <c r="G54" s="24">
        <f>SUMIFS(Expenses!$D$5:$D$304,Expenses!$A$5:$A$304,"&gt;="&amp;$B54,Expenses!$A$5:$A$304,"&lt;="&amp;$C54)</f>
        <v/>
      </c>
      <c r="H54" s="25">
        <f>F54-G54</f>
        <v/>
      </c>
      <c r="I54" s="26">
        <f>IFERROR(H54/F54,"")</f>
        <v/>
      </c>
    </row>
    <row r="55">
      <c r="A55" s="19" t="n">
        <v>51</v>
      </c>
      <c r="B55" s="14" t="n">
        <v>46370</v>
      </c>
      <c r="C55" s="14">
        <f>B55+6</f>
        <v/>
      </c>
      <c r="D55" s="16">
        <f>SUMIFS(Income!$D$5:$D$154,Income!$A$5:$A$154,"&gt;="&amp;$B55,Income!$A$5:$A$154,"&lt;="&amp;$C55,Income!$B$5:$B$154,'Start Here'!$C$6)</f>
        <v/>
      </c>
      <c r="E55" s="16">
        <f>SUMIFS(Income!$D$5:$D$154,Income!$A$5:$A$154,"&gt;="&amp;$B55,Income!$A$5:$A$154,"&lt;="&amp;$C55,Income!$B$5:$B$154,'Start Here'!$C$7)</f>
        <v/>
      </c>
      <c r="F55" s="20">
        <f>D55+E55</f>
        <v/>
      </c>
      <c r="G55" s="16">
        <f>SUMIFS(Expenses!$D$5:$D$304,Expenses!$A$5:$A$304,"&gt;="&amp;$B55,Expenses!$A$5:$A$304,"&lt;="&amp;$C55)</f>
        <v/>
      </c>
      <c r="H55" s="20">
        <f>F55-G55</f>
        <v/>
      </c>
      <c r="I55" s="21">
        <f>IFERROR(H55/F55,"")</f>
        <v/>
      </c>
    </row>
    <row r="56">
      <c r="A56" s="22" t="n">
        <v>52</v>
      </c>
      <c r="B56" s="23" t="n">
        <v>46377</v>
      </c>
      <c r="C56" s="23">
        <f>B56+6</f>
        <v/>
      </c>
      <c r="D56" s="24">
        <f>SUMIFS(Income!$D$5:$D$154,Income!$A$5:$A$154,"&gt;="&amp;$B56,Income!$A$5:$A$154,"&lt;="&amp;$C56,Income!$B$5:$B$154,'Start Here'!$C$6)</f>
        <v/>
      </c>
      <c r="E56" s="24">
        <f>SUMIFS(Income!$D$5:$D$154,Income!$A$5:$A$154,"&gt;="&amp;$B56,Income!$A$5:$A$154,"&lt;="&amp;$C56,Income!$B$5:$B$154,'Start Here'!$C$7)</f>
        <v/>
      </c>
      <c r="F56" s="25">
        <f>D56+E56</f>
        <v/>
      </c>
      <c r="G56" s="24">
        <f>SUMIFS(Expenses!$D$5:$D$304,Expenses!$A$5:$A$304,"&gt;="&amp;$B56,Expenses!$A$5:$A$304,"&lt;="&amp;$C56)</f>
        <v/>
      </c>
      <c r="H56" s="25">
        <f>F56-G56</f>
        <v/>
      </c>
      <c r="I56" s="26">
        <f>IFERROR(H56/F56,"")</f>
        <v/>
      </c>
    </row>
    <row r="57">
      <c r="A57" s="19" t="n">
        <v>53</v>
      </c>
      <c r="B57" s="14" t="n">
        <v>46384</v>
      </c>
      <c r="C57" s="14">
        <f>B57+6</f>
        <v/>
      </c>
      <c r="D57" s="16">
        <f>SUMIFS(Income!$D$5:$D$154,Income!$A$5:$A$154,"&gt;="&amp;$B57,Income!$A$5:$A$154,"&lt;="&amp;$C57,Income!$B$5:$B$154,'Start Here'!$C$6)</f>
        <v/>
      </c>
      <c r="E57" s="16">
        <f>SUMIFS(Income!$D$5:$D$154,Income!$A$5:$A$154,"&gt;="&amp;$B57,Income!$A$5:$A$154,"&lt;="&amp;$C57,Income!$B$5:$B$154,'Start Here'!$C$7)</f>
        <v/>
      </c>
      <c r="F57" s="20">
        <f>D57+E57</f>
        <v/>
      </c>
      <c r="G57" s="16">
        <f>SUMIFS(Expenses!$D$5:$D$304,Expenses!$A$5:$A$304,"&gt;="&amp;$B57,Expenses!$A$5:$A$304,"&lt;="&amp;$C57)</f>
        <v/>
      </c>
      <c r="H57" s="20">
        <f>F57-G57</f>
        <v/>
      </c>
      <c r="I57" s="21">
        <f>IFERROR(H57/F57,"")</f>
        <v/>
      </c>
    </row>
    <row r="58">
      <c r="A58" s="27" t="inlineStr">
        <is>
          <t>YEAR</t>
        </is>
      </c>
      <c r="B58" s="28" t="n"/>
      <c r="C58" s="28" t="n"/>
      <c r="D58" s="29">
        <f>SUM(D5:D57)</f>
        <v/>
      </c>
      <c r="E58" s="29">
        <f>SUM(E5:E57)</f>
        <v/>
      </c>
      <c r="F58" s="29">
        <f>SUM(F5:F57)</f>
        <v/>
      </c>
      <c r="G58" s="29">
        <f>SUM(G5:G57)</f>
        <v/>
      </c>
      <c r="H58" s="29">
        <f>F58-G58</f>
        <v/>
      </c>
      <c r="I58" s="30">
        <f>IFERROR(H58/F58,"")</f>
        <v/>
      </c>
    </row>
  </sheetData>
  <mergeCells count="1">
    <mergeCell ref="A58:C5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O3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</cols>
  <sheetData>
    <row r="1">
      <c r="A1" s="1" t="inlineStr">
        <is>
          <t>Monthly Summary — 2026</t>
        </is>
      </c>
    </row>
    <row r="2">
      <c r="A2" s="6" t="inlineStr">
        <is>
          <t>Totals by month, then a breakdown of where the money went.</t>
        </is>
      </c>
    </row>
    <row r="4" ht="28" customHeight="1">
      <c r="A4" s="10" t="inlineStr">
        <is>
          <t>Month</t>
        </is>
      </c>
      <c r="B4" s="10" t="inlineStr">
        <is>
          <t>Month Start</t>
        </is>
      </c>
      <c r="C4" s="10" t="inlineStr">
        <is>
          <t>Month End</t>
        </is>
      </c>
      <c r="D4" s="10">
        <f>CONCATENATE("Income — ",'Start Here'!$C$6)</f>
        <v/>
      </c>
      <c r="E4" s="10">
        <f>CONCATENATE("Income — ",'Start Here'!$C$7)</f>
        <v/>
      </c>
      <c r="F4" s="10" t="inlineStr">
        <is>
          <t>Total Income</t>
        </is>
      </c>
      <c r="G4" s="10" t="inlineStr">
        <is>
          <t>Total Expenses</t>
        </is>
      </c>
      <c r="H4" s="10" t="inlineStr">
        <is>
          <t>Net (Saved)</t>
        </is>
      </c>
      <c r="I4" s="10" t="inlineStr">
        <is>
          <t>Savings Rate</t>
        </is>
      </c>
    </row>
    <row r="5">
      <c r="A5" s="31" t="n">
        <v>46023</v>
      </c>
      <c r="B5" s="14" t="n">
        <v>46023</v>
      </c>
      <c r="C5" s="14">
        <f>EOMONTH(B5,0)</f>
        <v/>
      </c>
      <c r="D5" s="16">
        <f>SUMIFS(Income!$D$5:$D$154,Income!$A$5:$A$154,"&gt;="&amp;$B5,Income!$A$5:$A$154,"&lt;="&amp;$C5,Income!$B$5:$B$154,'Start Here'!$C$6)</f>
        <v/>
      </c>
      <c r="E5" s="16">
        <f>SUMIFS(Income!$D$5:$D$154,Income!$A$5:$A$154,"&gt;="&amp;$B5,Income!$A$5:$A$154,"&lt;="&amp;$C5,Income!$B$5:$B$154,'Start Here'!$C$7)</f>
        <v/>
      </c>
      <c r="F5" s="20">
        <f>D5+E5</f>
        <v/>
      </c>
      <c r="G5" s="16">
        <f>SUMIFS(Expenses!$D$5:$D$304,Expenses!$A$5:$A$304,"&gt;="&amp;$B5,Expenses!$A$5:$A$304,"&lt;="&amp;$C5)</f>
        <v/>
      </c>
      <c r="H5" s="20">
        <f>F5-G5</f>
        <v/>
      </c>
      <c r="I5" s="21">
        <f>IFERROR(H5/F5,"")</f>
        <v/>
      </c>
    </row>
    <row r="6">
      <c r="A6" s="32" t="n">
        <v>46054</v>
      </c>
      <c r="B6" s="23" t="n">
        <v>46054</v>
      </c>
      <c r="C6" s="23">
        <f>EOMONTH(B6,0)</f>
        <v/>
      </c>
      <c r="D6" s="24">
        <f>SUMIFS(Income!$D$5:$D$154,Income!$A$5:$A$154,"&gt;="&amp;$B6,Income!$A$5:$A$154,"&lt;="&amp;$C6,Income!$B$5:$B$154,'Start Here'!$C$6)</f>
        <v/>
      </c>
      <c r="E6" s="24">
        <f>SUMIFS(Income!$D$5:$D$154,Income!$A$5:$A$154,"&gt;="&amp;$B6,Income!$A$5:$A$154,"&lt;="&amp;$C6,Income!$B$5:$B$154,'Start Here'!$C$7)</f>
        <v/>
      </c>
      <c r="F6" s="25">
        <f>D6+E6</f>
        <v/>
      </c>
      <c r="G6" s="24">
        <f>SUMIFS(Expenses!$D$5:$D$304,Expenses!$A$5:$A$304,"&gt;="&amp;$B6,Expenses!$A$5:$A$304,"&lt;="&amp;$C6)</f>
        <v/>
      </c>
      <c r="H6" s="25">
        <f>F6-G6</f>
        <v/>
      </c>
      <c r="I6" s="26">
        <f>IFERROR(H6/F6,"")</f>
        <v/>
      </c>
    </row>
    <row r="7">
      <c r="A7" s="31" t="n">
        <v>46082</v>
      </c>
      <c r="B7" s="14" t="n">
        <v>46082</v>
      </c>
      <c r="C7" s="14">
        <f>EOMONTH(B7,0)</f>
        <v/>
      </c>
      <c r="D7" s="16">
        <f>SUMIFS(Income!$D$5:$D$154,Income!$A$5:$A$154,"&gt;="&amp;$B7,Income!$A$5:$A$154,"&lt;="&amp;$C7,Income!$B$5:$B$154,'Start Here'!$C$6)</f>
        <v/>
      </c>
      <c r="E7" s="16">
        <f>SUMIFS(Income!$D$5:$D$154,Income!$A$5:$A$154,"&gt;="&amp;$B7,Income!$A$5:$A$154,"&lt;="&amp;$C7,Income!$B$5:$B$154,'Start Here'!$C$7)</f>
        <v/>
      </c>
      <c r="F7" s="20">
        <f>D7+E7</f>
        <v/>
      </c>
      <c r="G7" s="16">
        <f>SUMIFS(Expenses!$D$5:$D$304,Expenses!$A$5:$A$304,"&gt;="&amp;$B7,Expenses!$A$5:$A$304,"&lt;="&amp;$C7)</f>
        <v/>
      </c>
      <c r="H7" s="20">
        <f>F7-G7</f>
        <v/>
      </c>
      <c r="I7" s="21">
        <f>IFERROR(H7/F7,"")</f>
        <v/>
      </c>
    </row>
    <row r="8">
      <c r="A8" s="32" t="n">
        <v>46113</v>
      </c>
      <c r="B8" s="23" t="n">
        <v>46113</v>
      </c>
      <c r="C8" s="23">
        <f>EOMONTH(B8,0)</f>
        <v/>
      </c>
      <c r="D8" s="24">
        <f>SUMIFS(Income!$D$5:$D$154,Income!$A$5:$A$154,"&gt;="&amp;$B8,Income!$A$5:$A$154,"&lt;="&amp;$C8,Income!$B$5:$B$154,'Start Here'!$C$6)</f>
        <v/>
      </c>
      <c r="E8" s="24">
        <f>SUMIFS(Income!$D$5:$D$154,Income!$A$5:$A$154,"&gt;="&amp;$B8,Income!$A$5:$A$154,"&lt;="&amp;$C8,Income!$B$5:$B$154,'Start Here'!$C$7)</f>
        <v/>
      </c>
      <c r="F8" s="25">
        <f>D8+E8</f>
        <v/>
      </c>
      <c r="G8" s="24">
        <f>SUMIFS(Expenses!$D$5:$D$304,Expenses!$A$5:$A$304,"&gt;="&amp;$B8,Expenses!$A$5:$A$304,"&lt;="&amp;$C8)</f>
        <v/>
      </c>
      <c r="H8" s="25">
        <f>F8-G8</f>
        <v/>
      </c>
      <c r="I8" s="26">
        <f>IFERROR(H8/F8,"")</f>
        <v/>
      </c>
    </row>
    <row r="9">
      <c r="A9" s="31" t="n">
        <v>46143</v>
      </c>
      <c r="B9" s="14" t="n">
        <v>46143</v>
      </c>
      <c r="C9" s="14">
        <f>EOMONTH(B9,0)</f>
        <v/>
      </c>
      <c r="D9" s="16">
        <f>SUMIFS(Income!$D$5:$D$154,Income!$A$5:$A$154,"&gt;="&amp;$B9,Income!$A$5:$A$154,"&lt;="&amp;$C9,Income!$B$5:$B$154,'Start Here'!$C$6)</f>
        <v/>
      </c>
      <c r="E9" s="16">
        <f>SUMIFS(Income!$D$5:$D$154,Income!$A$5:$A$154,"&gt;="&amp;$B9,Income!$A$5:$A$154,"&lt;="&amp;$C9,Income!$B$5:$B$154,'Start Here'!$C$7)</f>
        <v/>
      </c>
      <c r="F9" s="20">
        <f>D9+E9</f>
        <v/>
      </c>
      <c r="G9" s="16">
        <f>SUMIFS(Expenses!$D$5:$D$304,Expenses!$A$5:$A$304,"&gt;="&amp;$B9,Expenses!$A$5:$A$304,"&lt;="&amp;$C9)</f>
        <v/>
      </c>
      <c r="H9" s="20">
        <f>F9-G9</f>
        <v/>
      </c>
      <c r="I9" s="21">
        <f>IFERROR(H9/F9,"")</f>
        <v/>
      </c>
    </row>
    <row r="10">
      <c r="A10" s="32" t="n">
        <v>46174</v>
      </c>
      <c r="B10" s="23" t="n">
        <v>46174</v>
      </c>
      <c r="C10" s="23">
        <f>EOMONTH(B10,0)</f>
        <v/>
      </c>
      <c r="D10" s="24">
        <f>SUMIFS(Income!$D$5:$D$154,Income!$A$5:$A$154,"&gt;="&amp;$B10,Income!$A$5:$A$154,"&lt;="&amp;$C10,Income!$B$5:$B$154,'Start Here'!$C$6)</f>
        <v/>
      </c>
      <c r="E10" s="24">
        <f>SUMIFS(Income!$D$5:$D$154,Income!$A$5:$A$154,"&gt;="&amp;$B10,Income!$A$5:$A$154,"&lt;="&amp;$C10,Income!$B$5:$B$154,'Start Here'!$C$7)</f>
        <v/>
      </c>
      <c r="F10" s="25">
        <f>D10+E10</f>
        <v/>
      </c>
      <c r="G10" s="24">
        <f>SUMIFS(Expenses!$D$5:$D$304,Expenses!$A$5:$A$304,"&gt;="&amp;$B10,Expenses!$A$5:$A$304,"&lt;="&amp;$C10)</f>
        <v/>
      </c>
      <c r="H10" s="25">
        <f>F10-G10</f>
        <v/>
      </c>
      <c r="I10" s="26">
        <f>IFERROR(H10/F10,"")</f>
        <v/>
      </c>
    </row>
    <row r="11">
      <c r="A11" s="31" t="n">
        <v>46204</v>
      </c>
      <c r="B11" s="14" t="n">
        <v>46204</v>
      </c>
      <c r="C11" s="14">
        <f>EOMONTH(B11,0)</f>
        <v/>
      </c>
      <c r="D11" s="16">
        <f>SUMIFS(Income!$D$5:$D$154,Income!$A$5:$A$154,"&gt;="&amp;$B11,Income!$A$5:$A$154,"&lt;="&amp;$C11,Income!$B$5:$B$154,'Start Here'!$C$6)</f>
        <v/>
      </c>
      <c r="E11" s="16">
        <f>SUMIFS(Income!$D$5:$D$154,Income!$A$5:$A$154,"&gt;="&amp;$B11,Income!$A$5:$A$154,"&lt;="&amp;$C11,Income!$B$5:$B$154,'Start Here'!$C$7)</f>
        <v/>
      </c>
      <c r="F11" s="20">
        <f>D11+E11</f>
        <v/>
      </c>
      <c r="G11" s="16">
        <f>SUMIFS(Expenses!$D$5:$D$304,Expenses!$A$5:$A$304,"&gt;="&amp;$B11,Expenses!$A$5:$A$304,"&lt;="&amp;$C11)</f>
        <v/>
      </c>
      <c r="H11" s="20">
        <f>F11-G11</f>
        <v/>
      </c>
      <c r="I11" s="21">
        <f>IFERROR(H11/F11,"")</f>
        <v/>
      </c>
    </row>
    <row r="12">
      <c r="A12" s="32" t="n">
        <v>46235</v>
      </c>
      <c r="B12" s="23" t="n">
        <v>46235</v>
      </c>
      <c r="C12" s="23">
        <f>EOMONTH(B12,0)</f>
        <v/>
      </c>
      <c r="D12" s="24">
        <f>SUMIFS(Income!$D$5:$D$154,Income!$A$5:$A$154,"&gt;="&amp;$B12,Income!$A$5:$A$154,"&lt;="&amp;$C12,Income!$B$5:$B$154,'Start Here'!$C$6)</f>
        <v/>
      </c>
      <c r="E12" s="24">
        <f>SUMIFS(Income!$D$5:$D$154,Income!$A$5:$A$154,"&gt;="&amp;$B12,Income!$A$5:$A$154,"&lt;="&amp;$C12,Income!$B$5:$B$154,'Start Here'!$C$7)</f>
        <v/>
      </c>
      <c r="F12" s="25">
        <f>D12+E12</f>
        <v/>
      </c>
      <c r="G12" s="24">
        <f>SUMIFS(Expenses!$D$5:$D$304,Expenses!$A$5:$A$304,"&gt;="&amp;$B12,Expenses!$A$5:$A$304,"&lt;="&amp;$C12)</f>
        <v/>
      </c>
      <c r="H12" s="25">
        <f>F12-G12</f>
        <v/>
      </c>
      <c r="I12" s="26">
        <f>IFERROR(H12/F12,"")</f>
        <v/>
      </c>
    </row>
    <row r="13">
      <c r="A13" s="31" t="n">
        <v>46266</v>
      </c>
      <c r="B13" s="14" t="n">
        <v>46266</v>
      </c>
      <c r="C13" s="14">
        <f>EOMONTH(B13,0)</f>
        <v/>
      </c>
      <c r="D13" s="16">
        <f>SUMIFS(Income!$D$5:$D$154,Income!$A$5:$A$154,"&gt;="&amp;$B13,Income!$A$5:$A$154,"&lt;="&amp;$C13,Income!$B$5:$B$154,'Start Here'!$C$6)</f>
        <v/>
      </c>
      <c r="E13" s="16">
        <f>SUMIFS(Income!$D$5:$D$154,Income!$A$5:$A$154,"&gt;="&amp;$B13,Income!$A$5:$A$154,"&lt;="&amp;$C13,Income!$B$5:$B$154,'Start Here'!$C$7)</f>
        <v/>
      </c>
      <c r="F13" s="20">
        <f>D13+E13</f>
        <v/>
      </c>
      <c r="G13" s="16">
        <f>SUMIFS(Expenses!$D$5:$D$304,Expenses!$A$5:$A$304,"&gt;="&amp;$B13,Expenses!$A$5:$A$304,"&lt;="&amp;$C13)</f>
        <v/>
      </c>
      <c r="H13" s="20">
        <f>F13-G13</f>
        <v/>
      </c>
      <c r="I13" s="21">
        <f>IFERROR(H13/F13,"")</f>
        <v/>
      </c>
    </row>
    <row r="14">
      <c r="A14" s="32" t="n">
        <v>46296</v>
      </c>
      <c r="B14" s="23" t="n">
        <v>46296</v>
      </c>
      <c r="C14" s="23">
        <f>EOMONTH(B14,0)</f>
        <v/>
      </c>
      <c r="D14" s="24">
        <f>SUMIFS(Income!$D$5:$D$154,Income!$A$5:$A$154,"&gt;="&amp;$B14,Income!$A$5:$A$154,"&lt;="&amp;$C14,Income!$B$5:$B$154,'Start Here'!$C$6)</f>
        <v/>
      </c>
      <c r="E14" s="24">
        <f>SUMIFS(Income!$D$5:$D$154,Income!$A$5:$A$154,"&gt;="&amp;$B14,Income!$A$5:$A$154,"&lt;="&amp;$C14,Income!$B$5:$B$154,'Start Here'!$C$7)</f>
        <v/>
      </c>
      <c r="F14" s="25">
        <f>D14+E14</f>
        <v/>
      </c>
      <c r="G14" s="24">
        <f>SUMIFS(Expenses!$D$5:$D$304,Expenses!$A$5:$A$304,"&gt;="&amp;$B14,Expenses!$A$5:$A$304,"&lt;="&amp;$C14)</f>
        <v/>
      </c>
      <c r="H14" s="25">
        <f>F14-G14</f>
        <v/>
      </c>
      <c r="I14" s="26">
        <f>IFERROR(H14/F14,"")</f>
        <v/>
      </c>
    </row>
    <row r="15">
      <c r="A15" s="31" t="n">
        <v>46327</v>
      </c>
      <c r="B15" s="14" t="n">
        <v>46327</v>
      </c>
      <c r="C15" s="14">
        <f>EOMONTH(B15,0)</f>
        <v/>
      </c>
      <c r="D15" s="16">
        <f>SUMIFS(Income!$D$5:$D$154,Income!$A$5:$A$154,"&gt;="&amp;$B15,Income!$A$5:$A$154,"&lt;="&amp;$C15,Income!$B$5:$B$154,'Start Here'!$C$6)</f>
        <v/>
      </c>
      <c r="E15" s="16">
        <f>SUMIFS(Income!$D$5:$D$154,Income!$A$5:$A$154,"&gt;="&amp;$B15,Income!$A$5:$A$154,"&lt;="&amp;$C15,Income!$B$5:$B$154,'Start Here'!$C$7)</f>
        <v/>
      </c>
      <c r="F15" s="20">
        <f>D15+E15</f>
        <v/>
      </c>
      <c r="G15" s="16">
        <f>SUMIFS(Expenses!$D$5:$D$304,Expenses!$A$5:$A$304,"&gt;="&amp;$B15,Expenses!$A$5:$A$304,"&lt;="&amp;$C15)</f>
        <v/>
      </c>
      <c r="H15" s="20">
        <f>F15-G15</f>
        <v/>
      </c>
      <c r="I15" s="21">
        <f>IFERROR(H15/F15,"")</f>
        <v/>
      </c>
    </row>
    <row r="16">
      <c r="A16" s="32" t="n">
        <v>46357</v>
      </c>
      <c r="B16" s="23" t="n">
        <v>46357</v>
      </c>
      <c r="C16" s="23">
        <f>EOMONTH(B16,0)</f>
        <v/>
      </c>
      <c r="D16" s="24">
        <f>SUMIFS(Income!$D$5:$D$154,Income!$A$5:$A$154,"&gt;="&amp;$B16,Income!$A$5:$A$154,"&lt;="&amp;$C16,Income!$B$5:$B$154,'Start Here'!$C$6)</f>
        <v/>
      </c>
      <c r="E16" s="24">
        <f>SUMIFS(Income!$D$5:$D$154,Income!$A$5:$A$154,"&gt;="&amp;$B16,Income!$A$5:$A$154,"&lt;="&amp;$C16,Income!$B$5:$B$154,'Start Here'!$C$7)</f>
        <v/>
      </c>
      <c r="F16" s="25">
        <f>D16+E16</f>
        <v/>
      </c>
      <c r="G16" s="24">
        <f>SUMIFS(Expenses!$D$5:$D$304,Expenses!$A$5:$A$304,"&gt;="&amp;$B16,Expenses!$A$5:$A$304,"&lt;="&amp;$C16)</f>
        <v/>
      </c>
      <c r="H16" s="25">
        <f>F16-G16</f>
        <v/>
      </c>
      <c r="I16" s="26">
        <f>IFERROR(H16/F16,"")</f>
        <v/>
      </c>
    </row>
    <row r="17">
      <c r="A17" s="27" t="inlineStr">
        <is>
          <t>YEAR TOTAL</t>
        </is>
      </c>
      <c r="B17" s="28" t="n"/>
      <c r="C17" s="28" t="n"/>
      <c r="D17" s="29">
        <f>SUM(D5:D16)</f>
        <v/>
      </c>
      <c r="E17" s="29">
        <f>SUM(E5:E16)</f>
        <v/>
      </c>
      <c r="F17" s="29">
        <f>SUM(F5:F16)</f>
        <v/>
      </c>
      <c r="G17" s="29">
        <f>SUM(G5:G16)</f>
        <v/>
      </c>
      <c r="H17" s="29">
        <f>F17-G17</f>
        <v/>
      </c>
      <c r="I17" s="30">
        <f>IFERROR(H17/F17,"")</f>
        <v/>
      </c>
    </row>
    <row r="18">
      <c r="A18" s="33" t="inlineStr">
        <is>
          <t>MONTHLY AVERAGE</t>
        </is>
      </c>
      <c r="B18" s="34" t="n"/>
      <c r="C18" s="34" t="n"/>
      <c r="D18" s="35">
        <f>IFERROR(AVERAGEIF($F$5:$F$16,"&lt;&gt;0",D$5:D$16),0)</f>
        <v/>
      </c>
      <c r="E18" s="35">
        <f>IFERROR(AVERAGEIF($F$5:$F$16,"&lt;&gt;0",E$5:E$16),0)</f>
        <v/>
      </c>
      <c r="F18" s="35">
        <f>IFERROR(AVERAGEIF($F$5:$F$16,"&lt;&gt;0",F$5:F$16),0)</f>
        <v/>
      </c>
      <c r="G18" s="35">
        <f>IFERROR(AVERAGEIF($F$5:$F$16,"&lt;&gt;0",G$5:G$16),0)</f>
        <v/>
      </c>
      <c r="H18" s="35">
        <f>IFERROR(AVERAGEIF($F$5:$F$16,"&lt;&gt;0",H$5:H$16),0)</f>
        <v/>
      </c>
      <c r="I18" s="36">
        <f>IFERROR(H18/F18,"")</f>
        <v/>
      </c>
      <c r="K18" s="6" t="inlineStr">
        <is>
          <t>Average across months that had income logged, so empty future months don't drag it down.</t>
        </is>
      </c>
    </row>
    <row r="21">
      <c r="A21" s="37" t="inlineStr">
        <is>
          <t>SPENDING BY CATEGORY</t>
        </is>
      </c>
    </row>
    <row r="22" ht="24" customHeight="1">
      <c r="A22" s="38" t="inlineStr">
        <is>
          <t>Category</t>
        </is>
      </c>
      <c r="B22" s="39">
        <f>B5</f>
        <v/>
      </c>
      <c r="C22" s="39">
        <f>B6</f>
        <v/>
      </c>
      <c r="D22" s="39">
        <f>B7</f>
        <v/>
      </c>
      <c r="E22" s="39">
        <f>B8</f>
        <v/>
      </c>
      <c r="F22" s="39">
        <f>B9</f>
        <v/>
      </c>
      <c r="G22" s="39">
        <f>B10</f>
        <v/>
      </c>
      <c r="H22" s="39">
        <f>B11</f>
        <v/>
      </c>
      <c r="I22" s="39">
        <f>B12</f>
        <v/>
      </c>
      <c r="J22" s="39">
        <f>B13</f>
        <v/>
      </c>
      <c r="K22" s="39">
        <f>B14</f>
        <v/>
      </c>
      <c r="L22" s="39">
        <f>B15</f>
        <v/>
      </c>
      <c r="M22" s="39">
        <f>B16</f>
        <v/>
      </c>
      <c r="N22" s="38" t="inlineStr">
        <is>
          <t>Year Total</t>
        </is>
      </c>
      <c r="O22" s="38" t="inlineStr">
        <is>
          <t>% of Spend</t>
        </is>
      </c>
    </row>
    <row r="23">
      <c r="A23" s="40">
        <f>'Start Here'!$C$10</f>
        <v/>
      </c>
      <c r="B23" s="41">
        <f>SUMIFS(Expenses!$D$5:$D$304,Expenses!$A$5:$A$304,"&gt;="&amp;B$22,Expenses!$A$5:$A$304,"&lt;="&amp;EOMONTH(B$22,0),Expenses!$B$5:$B$304,$A23)</f>
        <v/>
      </c>
      <c r="C23" s="41">
        <f>SUMIFS(Expenses!$D$5:$D$304,Expenses!$A$5:$A$304,"&gt;="&amp;C$22,Expenses!$A$5:$A$304,"&lt;="&amp;EOMONTH(C$22,0),Expenses!$B$5:$B$304,$A23)</f>
        <v/>
      </c>
      <c r="D23" s="41">
        <f>SUMIFS(Expenses!$D$5:$D$304,Expenses!$A$5:$A$304,"&gt;="&amp;D$22,Expenses!$A$5:$A$304,"&lt;="&amp;EOMONTH(D$22,0),Expenses!$B$5:$B$304,$A23)</f>
        <v/>
      </c>
      <c r="E23" s="41">
        <f>SUMIFS(Expenses!$D$5:$D$304,Expenses!$A$5:$A$304,"&gt;="&amp;E$22,Expenses!$A$5:$A$304,"&lt;="&amp;EOMONTH(E$22,0),Expenses!$B$5:$B$304,$A23)</f>
        <v/>
      </c>
      <c r="F23" s="41">
        <f>SUMIFS(Expenses!$D$5:$D$304,Expenses!$A$5:$A$304,"&gt;="&amp;F$22,Expenses!$A$5:$A$304,"&lt;="&amp;EOMONTH(F$22,0),Expenses!$B$5:$B$304,$A23)</f>
        <v/>
      </c>
      <c r="G23" s="41">
        <f>SUMIFS(Expenses!$D$5:$D$304,Expenses!$A$5:$A$304,"&gt;="&amp;G$22,Expenses!$A$5:$A$304,"&lt;="&amp;EOMONTH(G$22,0),Expenses!$B$5:$B$304,$A23)</f>
        <v/>
      </c>
      <c r="H23" s="41">
        <f>SUMIFS(Expenses!$D$5:$D$304,Expenses!$A$5:$A$304,"&gt;="&amp;H$22,Expenses!$A$5:$A$304,"&lt;="&amp;EOMONTH(H$22,0),Expenses!$B$5:$B$304,$A23)</f>
        <v/>
      </c>
      <c r="I23" s="41">
        <f>SUMIFS(Expenses!$D$5:$D$304,Expenses!$A$5:$A$304,"&gt;="&amp;I$22,Expenses!$A$5:$A$304,"&lt;="&amp;EOMONTH(I$22,0),Expenses!$B$5:$B$304,$A23)</f>
        <v/>
      </c>
      <c r="J23" s="41">
        <f>SUMIFS(Expenses!$D$5:$D$304,Expenses!$A$5:$A$304,"&gt;="&amp;J$22,Expenses!$A$5:$A$304,"&lt;="&amp;EOMONTH(J$22,0),Expenses!$B$5:$B$304,$A23)</f>
        <v/>
      </c>
      <c r="K23" s="41">
        <f>SUMIFS(Expenses!$D$5:$D$304,Expenses!$A$5:$A$304,"&gt;="&amp;K$22,Expenses!$A$5:$A$304,"&lt;="&amp;EOMONTH(K$22,0),Expenses!$B$5:$B$304,$A23)</f>
        <v/>
      </c>
      <c r="L23" s="41">
        <f>SUMIFS(Expenses!$D$5:$D$304,Expenses!$A$5:$A$304,"&gt;="&amp;L$22,Expenses!$A$5:$A$304,"&lt;="&amp;EOMONTH(L$22,0),Expenses!$B$5:$B$304,$A23)</f>
        <v/>
      </c>
      <c r="M23" s="41">
        <f>SUMIFS(Expenses!$D$5:$D$304,Expenses!$A$5:$A$304,"&gt;="&amp;M$22,Expenses!$A$5:$A$304,"&lt;="&amp;EOMONTH(M$22,0),Expenses!$B$5:$B$304,$A23)</f>
        <v/>
      </c>
      <c r="N23" s="20">
        <f>SUM(B23:M23)</f>
        <v/>
      </c>
      <c r="O23" s="42">
        <f>IFERROR($N23/$N$37,"")</f>
        <v/>
      </c>
    </row>
    <row r="24">
      <c r="A24" s="43">
        <f>'Start Here'!$C$11</f>
        <v/>
      </c>
      <c r="B24" s="44">
        <f>SUMIFS(Expenses!$D$5:$D$304,Expenses!$A$5:$A$304,"&gt;="&amp;B$22,Expenses!$A$5:$A$304,"&lt;="&amp;EOMONTH(B$22,0),Expenses!$B$5:$B$304,$A24)</f>
        <v/>
      </c>
      <c r="C24" s="44">
        <f>SUMIFS(Expenses!$D$5:$D$304,Expenses!$A$5:$A$304,"&gt;="&amp;C$22,Expenses!$A$5:$A$304,"&lt;="&amp;EOMONTH(C$22,0),Expenses!$B$5:$B$304,$A24)</f>
        <v/>
      </c>
      <c r="D24" s="44">
        <f>SUMIFS(Expenses!$D$5:$D$304,Expenses!$A$5:$A$304,"&gt;="&amp;D$22,Expenses!$A$5:$A$304,"&lt;="&amp;EOMONTH(D$22,0),Expenses!$B$5:$B$304,$A24)</f>
        <v/>
      </c>
      <c r="E24" s="44">
        <f>SUMIFS(Expenses!$D$5:$D$304,Expenses!$A$5:$A$304,"&gt;="&amp;E$22,Expenses!$A$5:$A$304,"&lt;="&amp;EOMONTH(E$22,0),Expenses!$B$5:$B$304,$A24)</f>
        <v/>
      </c>
      <c r="F24" s="44">
        <f>SUMIFS(Expenses!$D$5:$D$304,Expenses!$A$5:$A$304,"&gt;="&amp;F$22,Expenses!$A$5:$A$304,"&lt;="&amp;EOMONTH(F$22,0),Expenses!$B$5:$B$304,$A24)</f>
        <v/>
      </c>
      <c r="G24" s="44">
        <f>SUMIFS(Expenses!$D$5:$D$304,Expenses!$A$5:$A$304,"&gt;="&amp;G$22,Expenses!$A$5:$A$304,"&lt;="&amp;EOMONTH(G$22,0),Expenses!$B$5:$B$304,$A24)</f>
        <v/>
      </c>
      <c r="H24" s="44">
        <f>SUMIFS(Expenses!$D$5:$D$304,Expenses!$A$5:$A$304,"&gt;="&amp;H$22,Expenses!$A$5:$A$304,"&lt;="&amp;EOMONTH(H$22,0),Expenses!$B$5:$B$304,$A24)</f>
        <v/>
      </c>
      <c r="I24" s="44">
        <f>SUMIFS(Expenses!$D$5:$D$304,Expenses!$A$5:$A$304,"&gt;="&amp;I$22,Expenses!$A$5:$A$304,"&lt;="&amp;EOMONTH(I$22,0),Expenses!$B$5:$B$304,$A24)</f>
        <v/>
      </c>
      <c r="J24" s="44">
        <f>SUMIFS(Expenses!$D$5:$D$304,Expenses!$A$5:$A$304,"&gt;="&amp;J$22,Expenses!$A$5:$A$304,"&lt;="&amp;EOMONTH(J$22,0),Expenses!$B$5:$B$304,$A24)</f>
        <v/>
      </c>
      <c r="K24" s="44">
        <f>SUMIFS(Expenses!$D$5:$D$304,Expenses!$A$5:$A$304,"&gt;="&amp;K$22,Expenses!$A$5:$A$304,"&lt;="&amp;EOMONTH(K$22,0),Expenses!$B$5:$B$304,$A24)</f>
        <v/>
      </c>
      <c r="L24" s="44">
        <f>SUMIFS(Expenses!$D$5:$D$304,Expenses!$A$5:$A$304,"&gt;="&amp;L$22,Expenses!$A$5:$A$304,"&lt;="&amp;EOMONTH(L$22,0),Expenses!$B$5:$B$304,$A24)</f>
        <v/>
      </c>
      <c r="M24" s="44">
        <f>SUMIFS(Expenses!$D$5:$D$304,Expenses!$A$5:$A$304,"&gt;="&amp;M$22,Expenses!$A$5:$A$304,"&lt;="&amp;EOMONTH(M$22,0),Expenses!$B$5:$B$304,$A24)</f>
        <v/>
      </c>
      <c r="N24" s="25">
        <f>SUM(B24:M24)</f>
        <v/>
      </c>
      <c r="O24" s="45">
        <f>IFERROR($N24/$N$37,"")</f>
        <v/>
      </c>
    </row>
    <row r="25">
      <c r="A25" s="40">
        <f>'Start Here'!$C$12</f>
        <v/>
      </c>
      <c r="B25" s="41">
        <f>SUMIFS(Expenses!$D$5:$D$304,Expenses!$A$5:$A$304,"&gt;="&amp;B$22,Expenses!$A$5:$A$304,"&lt;="&amp;EOMONTH(B$22,0),Expenses!$B$5:$B$304,$A25)</f>
        <v/>
      </c>
      <c r="C25" s="41">
        <f>SUMIFS(Expenses!$D$5:$D$304,Expenses!$A$5:$A$304,"&gt;="&amp;C$22,Expenses!$A$5:$A$304,"&lt;="&amp;EOMONTH(C$22,0),Expenses!$B$5:$B$304,$A25)</f>
        <v/>
      </c>
      <c r="D25" s="41">
        <f>SUMIFS(Expenses!$D$5:$D$304,Expenses!$A$5:$A$304,"&gt;="&amp;D$22,Expenses!$A$5:$A$304,"&lt;="&amp;EOMONTH(D$22,0),Expenses!$B$5:$B$304,$A25)</f>
        <v/>
      </c>
      <c r="E25" s="41">
        <f>SUMIFS(Expenses!$D$5:$D$304,Expenses!$A$5:$A$304,"&gt;="&amp;E$22,Expenses!$A$5:$A$304,"&lt;="&amp;EOMONTH(E$22,0),Expenses!$B$5:$B$304,$A25)</f>
        <v/>
      </c>
      <c r="F25" s="41">
        <f>SUMIFS(Expenses!$D$5:$D$304,Expenses!$A$5:$A$304,"&gt;="&amp;F$22,Expenses!$A$5:$A$304,"&lt;="&amp;EOMONTH(F$22,0),Expenses!$B$5:$B$304,$A25)</f>
        <v/>
      </c>
      <c r="G25" s="41">
        <f>SUMIFS(Expenses!$D$5:$D$304,Expenses!$A$5:$A$304,"&gt;="&amp;G$22,Expenses!$A$5:$A$304,"&lt;="&amp;EOMONTH(G$22,0),Expenses!$B$5:$B$304,$A25)</f>
        <v/>
      </c>
      <c r="H25" s="41">
        <f>SUMIFS(Expenses!$D$5:$D$304,Expenses!$A$5:$A$304,"&gt;="&amp;H$22,Expenses!$A$5:$A$304,"&lt;="&amp;EOMONTH(H$22,0),Expenses!$B$5:$B$304,$A25)</f>
        <v/>
      </c>
      <c r="I25" s="41">
        <f>SUMIFS(Expenses!$D$5:$D$304,Expenses!$A$5:$A$304,"&gt;="&amp;I$22,Expenses!$A$5:$A$304,"&lt;="&amp;EOMONTH(I$22,0),Expenses!$B$5:$B$304,$A25)</f>
        <v/>
      </c>
      <c r="J25" s="41">
        <f>SUMIFS(Expenses!$D$5:$D$304,Expenses!$A$5:$A$304,"&gt;="&amp;J$22,Expenses!$A$5:$A$304,"&lt;="&amp;EOMONTH(J$22,0),Expenses!$B$5:$B$304,$A25)</f>
        <v/>
      </c>
      <c r="K25" s="41">
        <f>SUMIFS(Expenses!$D$5:$D$304,Expenses!$A$5:$A$304,"&gt;="&amp;K$22,Expenses!$A$5:$A$304,"&lt;="&amp;EOMONTH(K$22,0),Expenses!$B$5:$B$304,$A25)</f>
        <v/>
      </c>
      <c r="L25" s="41">
        <f>SUMIFS(Expenses!$D$5:$D$304,Expenses!$A$5:$A$304,"&gt;="&amp;L$22,Expenses!$A$5:$A$304,"&lt;="&amp;EOMONTH(L$22,0),Expenses!$B$5:$B$304,$A25)</f>
        <v/>
      </c>
      <c r="M25" s="41">
        <f>SUMIFS(Expenses!$D$5:$D$304,Expenses!$A$5:$A$304,"&gt;="&amp;M$22,Expenses!$A$5:$A$304,"&lt;="&amp;EOMONTH(M$22,0),Expenses!$B$5:$B$304,$A25)</f>
        <v/>
      </c>
      <c r="N25" s="20">
        <f>SUM(B25:M25)</f>
        <v/>
      </c>
      <c r="O25" s="42">
        <f>IFERROR($N25/$N$37,"")</f>
        <v/>
      </c>
    </row>
    <row r="26">
      <c r="A26" s="43">
        <f>'Start Here'!$C$13</f>
        <v/>
      </c>
      <c r="B26" s="44">
        <f>SUMIFS(Expenses!$D$5:$D$304,Expenses!$A$5:$A$304,"&gt;="&amp;B$22,Expenses!$A$5:$A$304,"&lt;="&amp;EOMONTH(B$22,0),Expenses!$B$5:$B$304,$A26)</f>
        <v/>
      </c>
      <c r="C26" s="44">
        <f>SUMIFS(Expenses!$D$5:$D$304,Expenses!$A$5:$A$304,"&gt;="&amp;C$22,Expenses!$A$5:$A$304,"&lt;="&amp;EOMONTH(C$22,0),Expenses!$B$5:$B$304,$A26)</f>
        <v/>
      </c>
      <c r="D26" s="44">
        <f>SUMIFS(Expenses!$D$5:$D$304,Expenses!$A$5:$A$304,"&gt;="&amp;D$22,Expenses!$A$5:$A$304,"&lt;="&amp;EOMONTH(D$22,0),Expenses!$B$5:$B$304,$A26)</f>
        <v/>
      </c>
      <c r="E26" s="44">
        <f>SUMIFS(Expenses!$D$5:$D$304,Expenses!$A$5:$A$304,"&gt;="&amp;E$22,Expenses!$A$5:$A$304,"&lt;="&amp;EOMONTH(E$22,0),Expenses!$B$5:$B$304,$A26)</f>
        <v/>
      </c>
      <c r="F26" s="44">
        <f>SUMIFS(Expenses!$D$5:$D$304,Expenses!$A$5:$A$304,"&gt;="&amp;F$22,Expenses!$A$5:$A$304,"&lt;="&amp;EOMONTH(F$22,0),Expenses!$B$5:$B$304,$A26)</f>
        <v/>
      </c>
      <c r="G26" s="44">
        <f>SUMIFS(Expenses!$D$5:$D$304,Expenses!$A$5:$A$304,"&gt;="&amp;G$22,Expenses!$A$5:$A$304,"&lt;="&amp;EOMONTH(G$22,0),Expenses!$B$5:$B$304,$A26)</f>
        <v/>
      </c>
      <c r="H26" s="44">
        <f>SUMIFS(Expenses!$D$5:$D$304,Expenses!$A$5:$A$304,"&gt;="&amp;H$22,Expenses!$A$5:$A$304,"&lt;="&amp;EOMONTH(H$22,0),Expenses!$B$5:$B$304,$A26)</f>
        <v/>
      </c>
      <c r="I26" s="44">
        <f>SUMIFS(Expenses!$D$5:$D$304,Expenses!$A$5:$A$304,"&gt;="&amp;I$22,Expenses!$A$5:$A$304,"&lt;="&amp;EOMONTH(I$22,0),Expenses!$B$5:$B$304,$A26)</f>
        <v/>
      </c>
      <c r="J26" s="44">
        <f>SUMIFS(Expenses!$D$5:$D$304,Expenses!$A$5:$A$304,"&gt;="&amp;J$22,Expenses!$A$5:$A$304,"&lt;="&amp;EOMONTH(J$22,0),Expenses!$B$5:$B$304,$A26)</f>
        <v/>
      </c>
      <c r="K26" s="44">
        <f>SUMIFS(Expenses!$D$5:$D$304,Expenses!$A$5:$A$304,"&gt;="&amp;K$22,Expenses!$A$5:$A$304,"&lt;="&amp;EOMONTH(K$22,0),Expenses!$B$5:$B$304,$A26)</f>
        <v/>
      </c>
      <c r="L26" s="44">
        <f>SUMIFS(Expenses!$D$5:$D$304,Expenses!$A$5:$A$304,"&gt;="&amp;L$22,Expenses!$A$5:$A$304,"&lt;="&amp;EOMONTH(L$22,0),Expenses!$B$5:$B$304,$A26)</f>
        <v/>
      </c>
      <c r="M26" s="44">
        <f>SUMIFS(Expenses!$D$5:$D$304,Expenses!$A$5:$A$304,"&gt;="&amp;M$22,Expenses!$A$5:$A$304,"&lt;="&amp;EOMONTH(M$22,0),Expenses!$B$5:$B$304,$A26)</f>
        <v/>
      </c>
      <c r="N26" s="25">
        <f>SUM(B26:M26)</f>
        <v/>
      </c>
      <c r="O26" s="45">
        <f>IFERROR($N26/$N$37,"")</f>
        <v/>
      </c>
    </row>
    <row r="27">
      <c r="A27" s="40">
        <f>'Start Here'!$C$14</f>
        <v/>
      </c>
      <c r="B27" s="41">
        <f>SUMIFS(Expenses!$D$5:$D$304,Expenses!$A$5:$A$304,"&gt;="&amp;B$22,Expenses!$A$5:$A$304,"&lt;="&amp;EOMONTH(B$22,0),Expenses!$B$5:$B$304,$A27)</f>
        <v/>
      </c>
      <c r="C27" s="41">
        <f>SUMIFS(Expenses!$D$5:$D$304,Expenses!$A$5:$A$304,"&gt;="&amp;C$22,Expenses!$A$5:$A$304,"&lt;="&amp;EOMONTH(C$22,0),Expenses!$B$5:$B$304,$A27)</f>
        <v/>
      </c>
      <c r="D27" s="41">
        <f>SUMIFS(Expenses!$D$5:$D$304,Expenses!$A$5:$A$304,"&gt;="&amp;D$22,Expenses!$A$5:$A$304,"&lt;="&amp;EOMONTH(D$22,0),Expenses!$B$5:$B$304,$A27)</f>
        <v/>
      </c>
      <c r="E27" s="41">
        <f>SUMIFS(Expenses!$D$5:$D$304,Expenses!$A$5:$A$304,"&gt;="&amp;E$22,Expenses!$A$5:$A$304,"&lt;="&amp;EOMONTH(E$22,0),Expenses!$B$5:$B$304,$A27)</f>
        <v/>
      </c>
      <c r="F27" s="41">
        <f>SUMIFS(Expenses!$D$5:$D$304,Expenses!$A$5:$A$304,"&gt;="&amp;F$22,Expenses!$A$5:$A$304,"&lt;="&amp;EOMONTH(F$22,0),Expenses!$B$5:$B$304,$A27)</f>
        <v/>
      </c>
      <c r="G27" s="41">
        <f>SUMIFS(Expenses!$D$5:$D$304,Expenses!$A$5:$A$304,"&gt;="&amp;G$22,Expenses!$A$5:$A$304,"&lt;="&amp;EOMONTH(G$22,0),Expenses!$B$5:$B$304,$A27)</f>
        <v/>
      </c>
      <c r="H27" s="41">
        <f>SUMIFS(Expenses!$D$5:$D$304,Expenses!$A$5:$A$304,"&gt;="&amp;H$22,Expenses!$A$5:$A$304,"&lt;="&amp;EOMONTH(H$22,0),Expenses!$B$5:$B$304,$A27)</f>
        <v/>
      </c>
      <c r="I27" s="41">
        <f>SUMIFS(Expenses!$D$5:$D$304,Expenses!$A$5:$A$304,"&gt;="&amp;I$22,Expenses!$A$5:$A$304,"&lt;="&amp;EOMONTH(I$22,0),Expenses!$B$5:$B$304,$A27)</f>
        <v/>
      </c>
      <c r="J27" s="41">
        <f>SUMIFS(Expenses!$D$5:$D$304,Expenses!$A$5:$A$304,"&gt;="&amp;J$22,Expenses!$A$5:$A$304,"&lt;="&amp;EOMONTH(J$22,0),Expenses!$B$5:$B$304,$A27)</f>
        <v/>
      </c>
      <c r="K27" s="41">
        <f>SUMIFS(Expenses!$D$5:$D$304,Expenses!$A$5:$A$304,"&gt;="&amp;K$22,Expenses!$A$5:$A$304,"&lt;="&amp;EOMONTH(K$22,0),Expenses!$B$5:$B$304,$A27)</f>
        <v/>
      </c>
      <c r="L27" s="41">
        <f>SUMIFS(Expenses!$D$5:$D$304,Expenses!$A$5:$A$304,"&gt;="&amp;L$22,Expenses!$A$5:$A$304,"&lt;="&amp;EOMONTH(L$22,0),Expenses!$B$5:$B$304,$A27)</f>
        <v/>
      </c>
      <c r="M27" s="41">
        <f>SUMIFS(Expenses!$D$5:$D$304,Expenses!$A$5:$A$304,"&gt;="&amp;M$22,Expenses!$A$5:$A$304,"&lt;="&amp;EOMONTH(M$22,0),Expenses!$B$5:$B$304,$A27)</f>
        <v/>
      </c>
      <c r="N27" s="20">
        <f>SUM(B27:M27)</f>
        <v/>
      </c>
      <c r="O27" s="42">
        <f>IFERROR($N27/$N$37,"")</f>
        <v/>
      </c>
    </row>
    <row r="28">
      <c r="A28" s="43">
        <f>'Start Here'!$C$15</f>
        <v/>
      </c>
      <c r="B28" s="44">
        <f>SUMIFS(Expenses!$D$5:$D$304,Expenses!$A$5:$A$304,"&gt;="&amp;B$22,Expenses!$A$5:$A$304,"&lt;="&amp;EOMONTH(B$22,0),Expenses!$B$5:$B$304,$A28)</f>
        <v/>
      </c>
      <c r="C28" s="44">
        <f>SUMIFS(Expenses!$D$5:$D$304,Expenses!$A$5:$A$304,"&gt;="&amp;C$22,Expenses!$A$5:$A$304,"&lt;="&amp;EOMONTH(C$22,0),Expenses!$B$5:$B$304,$A28)</f>
        <v/>
      </c>
      <c r="D28" s="44">
        <f>SUMIFS(Expenses!$D$5:$D$304,Expenses!$A$5:$A$304,"&gt;="&amp;D$22,Expenses!$A$5:$A$304,"&lt;="&amp;EOMONTH(D$22,0),Expenses!$B$5:$B$304,$A28)</f>
        <v/>
      </c>
      <c r="E28" s="44">
        <f>SUMIFS(Expenses!$D$5:$D$304,Expenses!$A$5:$A$304,"&gt;="&amp;E$22,Expenses!$A$5:$A$304,"&lt;="&amp;EOMONTH(E$22,0),Expenses!$B$5:$B$304,$A28)</f>
        <v/>
      </c>
      <c r="F28" s="44">
        <f>SUMIFS(Expenses!$D$5:$D$304,Expenses!$A$5:$A$304,"&gt;="&amp;F$22,Expenses!$A$5:$A$304,"&lt;="&amp;EOMONTH(F$22,0),Expenses!$B$5:$B$304,$A28)</f>
        <v/>
      </c>
      <c r="G28" s="44">
        <f>SUMIFS(Expenses!$D$5:$D$304,Expenses!$A$5:$A$304,"&gt;="&amp;G$22,Expenses!$A$5:$A$304,"&lt;="&amp;EOMONTH(G$22,0),Expenses!$B$5:$B$304,$A28)</f>
        <v/>
      </c>
      <c r="H28" s="44">
        <f>SUMIFS(Expenses!$D$5:$D$304,Expenses!$A$5:$A$304,"&gt;="&amp;H$22,Expenses!$A$5:$A$304,"&lt;="&amp;EOMONTH(H$22,0),Expenses!$B$5:$B$304,$A28)</f>
        <v/>
      </c>
      <c r="I28" s="44">
        <f>SUMIFS(Expenses!$D$5:$D$304,Expenses!$A$5:$A$304,"&gt;="&amp;I$22,Expenses!$A$5:$A$304,"&lt;="&amp;EOMONTH(I$22,0),Expenses!$B$5:$B$304,$A28)</f>
        <v/>
      </c>
      <c r="J28" s="44">
        <f>SUMIFS(Expenses!$D$5:$D$304,Expenses!$A$5:$A$304,"&gt;="&amp;J$22,Expenses!$A$5:$A$304,"&lt;="&amp;EOMONTH(J$22,0),Expenses!$B$5:$B$304,$A28)</f>
        <v/>
      </c>
      <c r="K28" s="44">
        <f>SUMIFS(Expenses!$D$5:$D$304,Expenses!$A$5:$A$304,"&gt;="&amp;K$22,Expenses!$A$5:$A$304,"&lt;="&amp;EOMONTH(K$22,0),Expenses!$B$5:$B$304,$A28)</f>
        <v/>
      </c>
      <c r="L28" s="44">
        <f>SUMIFS(Expenses!$D$5:$D$304,Expenses!$A$5:$A$304,"&gt;="&amp;L$22,Expenses!$A$5:$A$304,"&lt;="&amp;EOMONTH(L$22,0),Expenses!$B$5:$B$304,$A28)</f>
        <v/>
      </c>
      <c r="M28" s="44">
        <f>SUMIFS(Expenses!$D$5:$D$304,Expenses!$A$5:$A$304,"&gt;="&amp;M$22,Expenses!$A$5:$A$304,"&lt;="&amp;EOMONTH(M$22,0),Expenses!$B$5:$B$304,$A28)</f>
        <v/>
      </c>
      <c r="N28" s="25">
        <f>SUM(B28:M28)</f>
        <v/>
      </c>
      <c r="O28" s="45">
        <f>IFERROR($N28/$N$37,"")</f>
        <v/>
      </c>
    </row>
    <row r="29">
      <c r="A29" s="40">
        <f>'Start Here'!$C$16</f>
        <v/>
      </c>
      <c r="B29" s="41">
        <f>SUMIFS(Expenses!$D$5:$D$304,Expenses!$A$5:$A$304,"&gt;="&amp;B$22,Expenses!$A$5:$A$304,"&lt;="&amp;EOMONTH(B$22,0),Expenses!$B$5:$B$304,$A29)</f>
        <v/>
      </c>
      <c r="C29" s="41">
        <f>SUMIFS(Expenses!$D$5:$D$304,Expenses!$A$5:$A$304,"&gt;="&amp;C$22,Expenses!$A$5:$A$304,"&lt;="&amp;EOMONTH(C$22,0),Expenses!$B$5:$B$304,$A29)</f>
        <v/>
      </c>
      <c r="D29" s="41">
        <f>SUMIFS(Expenses!$D$5:$D$304,Expenses!$A$5:$A$304,"&gt;="&amp;D$22,Expenses!$A$5:$A$304,"&lt;="&amp;EOMONTH(D$22,0),Expenses!$B$5:$B$304,$A29)</f>
        <v/>
      </c>
      <c r="E29" s="41">
        <f>SUMIFS(Expenses!$D$5:$D$304,Expenses!$A$5:$A$304,"&gt;="&amp;E$22,Expenses!$A$5:$A$304,"&lt;="&amp;EOMONTH(E$22,0),Expenses!$B$5:$B$304,$A29)</f>
        <v/>
      </c>
      <c r="F29" s="41">
        <f>SUMIFS(Expenses!$D$5:$D$304,Expenses!$A$5:$A$304,"&gt;="&amp;F$22,Expenses!$A$5:$A$304,"&lt;="&amp;EOMONTH(F$22,0),Expenses!$B$5:$B$304,$A29)</f>
        <v/>
      </c>
      <c r="G29" s="41">
        <f>SUMIFS(Expenses!$D$5:$D$304,Expenses!$A$5:$A$304,"&gt;="&amp;G$22,Expenses!$A$5:$A$304,"&lt;="&amp;EOMONTH(G$22,0),Expenses!$B$5:$B$304,$A29)</f>
        <v/>
      </c>
      <c r="H29" s="41">
        <f>SUMIFS(Expenses!$D$5:$D$304,Expenses!$A$5:$A$304,"&gt;="&amp;H$22,Expenses!$A$5:$A$304,"&lt;="&amp;EOMONTH(H$22,0),Expenses!$B$5:$B$304,$A29)</f>
        <v/>
      </c>
      <c r="I29" s="41">
        <f>SUMIFS(Expenses!$D$5:$D$304,Expenses!$A$5:$A$304,"&gt;="&amp;I$22,Expenses!$A$5:$A$304,"&lt;="&amp;EOMONTH(I$22,0),Expenses!$B$5:$B$304,$A29)</f>
        <v/>
      </c>
      <c r="J29" s="41">
        <f>SUMIFS(Expenses!$D$5:$D$304,Expenses!$A$5:$A$304,"&gt;="&amp;J$22,Expenses!$A$5:$A$304,"&lt;="&amp;EOMONTH(J$22,0),Expenses!$B$5:$B$304,$A29)</f>
        <v/>
      </c>
      <c r="K29" s="41">
        <f>SUMIFS(Expenses!$D$5:$D$304,Expenses!$A$5:$A$304,"&gt;="&amp;K$22,Expenses!$A$5:$A$304,"&lt;="&amp;EOMONTH(K$22,0),Expenses!$B$5:$B$304,$A29)</f>
        <v/>
      </c>
      <c r="L29" s="41">
        <f>SUMIFS(Expenses!$D$5:$D$304,Expenses!$A$5:$A$304,"&gt;="&amp;L$22,Expenses!$A$5:$A$304,"&lt;="&amp;EOMONTH(L$22,0),Expenses!$B$5:$B$304,$A29)</f>
        <v/>
      </c>
      <c r="M29" s="41">
        <f>SUMIFS(Expenses!$D$5:$D$304,Expenses!$A$5:$A$304,"&gt;="&amp;M$22,Expenses!$A$5:$A$304,"&lt;="&amp;EOMONTH(M$22,0),Expenses!$B$5:$B$304,$A29)</f>
        <v/>
      </c>
      <c r="N29" s="20">
        <f>SUM(B29:M29)</f>
        <v/>
      </c>
      <c r="O29" s="42">
        <f>IFERROR($N29/$N$37,"")</f>
        <v/>
      </c>
    </row>
    <row r="30">
      <c r="A30" s="43">
        <f>'Start Here'!$C$17</f>
        <v/>
      </c>
      <c r="B30" s="44">
        <f>SUMIFS(Expenses!$D$5:$D$304,Expenses!$A$5:$A$304,"&gt;="&amp;B$22,Expenses!$A$5:$A$304,"&lt;="&amp;EOMONTH(B$22,0),Expenses!$B$5:$B$304,$A30)</f>
        <v/>
      </c>
      <c r="C30" s="44">
        <f>SUMIFS(Expenses!$D$5:$D$304,Expenses!$A$5:$A$304,"&gt;="&amp;C$22,Expenses!$A$5:$A$304,"&lt;="&amp;EOMONTH(C$22,0),Expenses!$B$5:$B$304,$A30)</f>
        <v/>
      </c>
      <c r="D30" s="44">
        <f>SUMIFS(Expenses!$D$5:$D$304,Expenses!$A$5:$A$304,"&gt;="&amp;D$22,Expenses!$A$5:$A$304,"&lt;="&amp;EOMONTH(D$22,0),Expenses!$B$5:$B$304,$A30)</f>
        <v/>
      </c>
      <c r="E30" s="44">
        <f>SUMIFS(Expenses!$D$5:$D$304,Expenses!$A$5:$A$304,"&gt;="&amp;E$22,Expenses!$A$5:$A$304,"&lt;="&amp;EOMONTH(E$22,0),Expenses!$B$5:$B$304,$A30)</f>
        <v/>
      </c>
      <c r="F30" s="44">
        <f>SUMIFS(Expenses!$D$5:$D$304,Expenses!$A$5:$A$304,"&gt;="&amp;F$22,Expenses!$A$5:$A$304,"&lt;="&amp;EOMONTH(F$22,0),Expenses!$B$5:$B$304,$A30)</f>
        <v/>
      </c>
      <c r="G30" s="44">
        <f>SUMIFS(Expenses!$D$5:$D$304,Expenses!$A$5:$A$304,"&gt;="&amp;G$22,Expenses!$A$5:$A$304,"&lt;="&amp;EOMONTH(G$22,0),Expenses!$B$5:$B$304,$A30)</f>
        <v/>
      </c>
      <c r="H30" s="44">
        <f>SUMIFS(Expenses!$D$5:$D$304,Expenses!$A$5:$A$304,"&gt;="&amp;H$22,Expenses!$A$5:$A$304,"&lt;="&amp;EOMONTH(H$22,0),Expenses!$B$5:$B$304,$A30)</f>
        <v/>
      </c>
      <c r="I30" s="44">
        <f>SUMIFS(Expenses!$D$5:$D$304,Expenses!$A$5:$A$304,"&gt;="&amp;I$22,Expenses!$A$5:$A$304,"&lt;="&amp;EOMONTH(I$22,0),Expenses!$B$5:$B$304,$A30)</f>
        <v/>
      </c>
      <c r="J30" s="44">
        <f>SUMIFS(Expenses!$D$5:$D$304,Expenses!$A$5:$A$304,"&gt;="&amp;J$22,Expenses!$A$5:$A$304,"&lt;="&amp;EOMONTH(J$22,0),Expenses!$B$5:$B$304,$A30)</f>
        <v/>
      </c>
      <c r="K30" s="44">
        <f>SUMIFS(Expenses!$D$5:$D$304,Expenses!$A$5:$A$304,"&gt;="&amp;K$22,Expenses!$A$5:$A$304,"&lt;="&amp;EOMONTH(K$22,0),Expenses!$B$5:$B$304,$A30)</f>
        <v/>
      </c>
      <c r="L30" s="44">
        <f>SUMIFS(Expenses!$D$5:$D$304,Expenses!$A$5:$A$304,"&gt;="&amp;L$22,Expenses!$A$5:$A$304,"&lt;="&amp;EOMONTH(L$22,0),Expenses!$B$5:$B$304,$A30)</f>
        <v/>
      </c>
      <c r="M30" s="44">
        <f>SUMIFS(Expenses!$D$5:$D$304,Expenses!$A$5:$A$304,"&gt;="&amp;M$22,Expenses!$A$5:$A$304,"&lt;="&amp;EOMONTH(M$22,0),Expenses!$B$5:$B$304,$A30)</f>
        <v/>
      </c>
      <c r="N30" s="25">
        <f>SUM(B30:M30)</f>
        <v/>
      </c>
      <c r="O30" s="45">
        <f>IFERROR($N30/$N$37,"")</f>
        <v/>
      </c>
    </row>
    <row r="31">
      <c r="A31" s="40">
        <f>'Start Here'!$C$18</f>
        <v/>
      </c>
      <c r="B31" s="41">
        <f>SUMIFS(Expenses!$D$5:$D$304,Expenses!$A$5:$A$304,"&gt;="&amp;B$22,Expenses!$A$5:$A$304,"&lt;="&amp;EOMONTH(B$22,0),Expenses!$B$5:$B$304,$A31)</f>
        <v/>
      </c>
      <c r="C31" s="41">
        <f>SUMIFS(Expenses!$D$5:$D$304,Expenses!$A$5:$A$304,"&gt;="&amp;C$22,Expenses!$A$5:$A$304,"&lt;="&amp;EOMONTH(C$22,0),Expenses!$B$5:$B$304,$A31)</f>
        <v/>
      </c>
      <c r="D31" s="41">
        <f>SUMIFS(Expenses!$D$5:$D$304,Expenses!$A$5:$A$304,"&gt;="&amp;D$22,Expenses!$A$5:$A$304,"&lt;="&amp;EOMONTH(D$22,0),Expenses!$B$5:$B$304,$A31)</f>
        <v/>
      </c>
      <c r="E31" s="41">
        <f>SUMIFS(Expenses!$D$5:$D$304,Expenses!$A$5:$A$304,"&gt;="&amp;E$22,Expenses!$A$5:$A$304,"&lt;="&amp;EOMONTH(E$22,0),Expenses!$B$5:$B$304,$A31)</f>
        <v/>
      </c>
      <c r="F31" s="41">
        <f>SUMIFS(Expenses!$D$5:$D$304,Expenses!$A$5:$A$304,"&gt;="&amp;F$22,Expenses!$A$5:$A$304,"&lt;="&amp;EOMONTH(F$22,0),Expenses!$B$5:$B$304,$A31)</f>
        <v/>
      </c>
      <c r="G31" s="41">
        <f>SUMIFS(Expenses!$D$5:$D$304,Expenses!$A$5:$A$304,"&gt;="&amp;G$22,Expenses!$A$5:$A$304,"&lt;="&amp;EOMONTH(G$22,0),Expenses!$B$5:$B$304,$A31)</f>
        <v/>
      </c>
      <c r="H31" s="41">
        <f>SUMIFS(Expenses!$D$5:$D$304,Expenses!$A$5:$A$304,"&gt;="&amp;H$22,Expenses!$A$5:$A$304,"&lt;="&amp;EOMONTH(H$22,0),Expenses!$B$5:$B$304,$A31)</f>
        <v/>
      </c>
      <c r="I31" s="41">
        <f>SUMIFS(Expenses!$D$5:$D$304,Expenses!$A$5:$A$304,"&gt;="&amp;I$22,Expenses!$A$5:$A$304,"&lt;="&amp;EOMONTH(I$22,0),Expenses!$B$5:$B$304,$A31)</f>
        <v/>
      </c>
      <c r="J31" s="41">
        <f>SUMIFS(Expenses!$D$5:$D$304,Expenses!$A$5:$A$304,"&gt;="&amp;J$22,Expenses!$A$5:$A$304,"&lt;="&amp;EOMONTH(J$22,0),Expenses!$B$5:$B$304,$A31)</f>
        <v/>
      </c>
      <c r="K31" s="41">
        <f>SUMIFS(Expenses!$D$5:$D$304,Expenses!$A$5:$A$304,"&gt;="&amp;K$22,Expenses!$A$5:$A$304,"&lt;="&amp;EOMONTH(K$22,0),Expenses!$B$5:$B$304,$A31)</f>
        <v/>
      </c>
      <c r="L31" s="41">
        <f>SUMIFS(Expenses!$D$5:$D$304,Expenses!$A$5:$A$304,"&gt;="&amp;L$22,Expenses!$A$5:$A$304,"&lt;="&amp;EOMONTH(L$22,0),Expenses!$B$5:$B$304,$A31)</f>
        <v/>
      </c>
      <c r="M31" s="41">
        <f>SUMIFS(Expenses!$D$5:$D$304,Expenses!$A$5:$A$304,"&gt;="&amp;M$22,Expenses!$A$5:$A$304,"&lt;="&amp;EOMONTH(M$22,0),Expenses!$B$5:$B$304,$A31)</f>
        <v/>
      </c>
      <c r="N31" s="20">
        <f>SUM(B31:M31)</f>
        <v/>
      </c>
      <c r="O31" s="42">
        <f>IFERROR($N31/$N$37,"")</f>
        <v/>
      </c>
    </row>
    <row r="32">
      <c r="A32" s="43">
        <f>'Start Here'!$C$19</f>
        <v/>
      </c>
      <c r="B32" s="44">
        <f>SUMIFS(Expenses!$D$5:$D$304,Expenses!$A$5:$A$304,"&gt;="&amp;B$22,Expenses!$A$5:$A$304,"&lt;="&amp;EOMONTH(B$22,0),Expenses!$B$5:$B$304,$A32)</f>
        <v/>
      </c>
      <c r="C32" s="44">
        <f>SUMIFS(Expenses!$D$5:$D$304,Expenses!$A$5:$A$304,"&gt;="&amp;C$22,Expenses!$A$5:$A$304,"&lt;="&amp;EOMONTH(C$22,0),Expenses!$B$5:$B$304,$A32)</f>
        <v/>
      </c>
      <c r="D32" s="44">
        <f>SUMIFS(Expenses!$D$5:$D$304,Expenses!$A$5:$A$304,"&gt;="&amp;D$22,Expenses!$A$5:$A$304,"&lt;="&amp;EOMONTH(D$22,0),Expenses!$B$5:$B$304,$A32)</f>
        <v/>
      </c>
      <c r="E32" s="44">
        <f>SUMIFS(Expenses!$D$5:$D$304,Expenses!$A$5:$A$304,"&gt;="&amp;E$22,Expenses!$A$5:$A$304,"&lt;="&amp;EOMONTH(E$22,0),Expenses!$B$5:$B$304,$A32)</f>
        <v/>
      </c>
      <c r="F32" s="44">
        <f>SUMIFS(Expenses!$D$5:$D$304,Expenses!$A$5:$A$304,"&gt;="&amp;F$22,Expenses!$A$5:$A$304,"&lt;="&amp;EOMONTH(F$22,0),Expenses!$B$5:$B$304,$A32)</f>
        <v/>
      </c>
      <c r="G32" s="44">
        <f>SUMIFS(Expenses!$D$5:$D$304,Expenses!$A$5:$A$304,"&gt;="&amp;G$22,Expenses!$A$5:$A$304,"&lt;="&amp;EOMONTH(G$22,0),Expenses!$B$5:$B$304,$A32)</f>
        <v/>
      </c>
      <c r="H32" s="44">
        <f>SUMIFS(Expenses!$D$5:$D$304,Expenses!$A$5:$A$304,"&gt;="&amp;H$22,Expenses!$A$5:$A$304,"&lt;="&amp;EOMONTH(H$22,0),Expenses!$B$5:$B$304,$A32)</f>
        <v/>
      </c>
      <c r="I32" s="44">
        <f>SUMIFS(Expenses!$D$5:$D$304,Expenses!$A$5:$A$304,"&gt;="&amp;I$22,Expenses!$A$5:$A$304,"&lt;="&amp;EOMONTH(I$22,0),Expenses!$B$5:$B$304,$A32)</f>
        <v/>
      </c>
      <c r="J32" s="44">
        <f>SUMIFS(Expenses!$D$5:$D$304,Expenses!$A$5:$A$304,"&gt;="&amp;J$22,Expenses!$A$5:$A$304,"&lt;="&amp;EOMONTH(J$22,0),Expenses!$B$5:$B$304,$A32)</f>
        <v/>
      </c>
      <c r="K32" s="44">
        <f>SUMIFS(Expenses!$D$5:$D$304,Expenses!$A$5:$A$304,"&gt;="&amp;K$22,Expenses!$A$5:$A$304,"&lt;="&amp;EOMONTH(K$22,0),Expenses!$B$5:$B$304,$A32)</f>
        <v/>
      </c>
      <c r="L32" s="44">
        <f>SUMIFS(Expenses!$D$5:$D$304,Expenses!$A$5:$A$304,"&gt;="&amp;L$22,Expenses!$A$5:$A$304,"&lt;="&amp;EOMONTH(L$22,0),Expenses!$B$5:$B$304,$A32)</f>
        <v/>
      </c>
      <c r="M32" s="44">
        <f>SUMIFS(Expenses!$D$5:$D$304,Expenses!$A$5:$A$304,"&gt;="&amp;M$22,Expenses!$A$5:$A$304,"&lt;="&amp;EOMONTH(M$22,0),Expenses!$B$5:$B$304,$A32)</f>
        <v/>
      </c>
      <c r="N32" s="25">
        <f>SUM(B32:M32)</f>
        <v/>
      </c>
      <c r="O32" s="45">
        <f>IFERROR($N32/$N$37,"")</f>
        <v/>
      </c>
    </row>
    <row r="33">
      <c r="A33" s="40">
        <f>'Start Here'!$C$20</f>
        <v/>
      </c>
      <c r="B33" s="41">
        <f>SUMIFS(Expenses!$D$5:$D$304,Expenses!$A$5:$A$304,"&gt;="&amp;B$22,Expenses!$A$5:$A$304,"&lt;="&amp;EOMONTH(B$22,0),Expenses!$B$5:$B$304,$A33)</f>
        <v/>
      </c>
      <c r="C33" s="41">
        <f>SUMIFS(Expenses!$D$5:$D$304,Expenses!$A$5:$A$304,"&gt;="&amp;C$22,Expenses!$A$5:$A$304,"&lt;="&amp;EOMONTH(C$22,0),Expenses!$B$5:$B$304,$A33)</f>
        <v/>
      </c>
      <c r="D33" s="41">
        <f>SUMIFS(Expenses!$D$5:$D$304,Expenses!$A$5:$A$304,"&gt;="&amp;D$22,Expenses!$A$5:$A$304,"&lt;="&amp;EOMONTH(D$22,0),Expenses!$B$5:$B$304,$A33)</f>
        <v/>
      </c>
      <c r="E33" s="41">
        <f>SUMIFS(Expenses!$D$5:$D$304,Expenses!$A$5:$A$304,"&gt;="&amp;E$22,Expenses!$A$5:$A$304,"&lt;="&amp;EOMONTH(E$22,0),Expenses!$B$5:$B$304,$A33)</f>
        <v/>
      </c>
      <c r="F33" s="41">
        <f>SUMIFS(Expenses!$D$5:$D$304,Expenses!$A$5:$A$304,"&gt;="&amp;F$22,Expenses!$A$5:$A$304,"&lt;="&amp;EOMONTH(F$22,0),Expenses!$B$5:$B$304,$A33)</f>
        <v/>
      </c>
      <c r="G33" s="41">
        <f>SUMIFS(Expenses!$D$5:$D$304,Expenses!$A$5:$A$304,"&gt;="&amp;G$22,Expenses!$A$5:$A$304,"&lt;="&amp;EOMONTH(G$22,0),Expenses!$B$5:$B$304,$A33)</f>
        <v/>
      </c>
      <c r="H33" s="41">
        <f>SUMIFS(Expenses!$D$5:$D$304,Expenses!$A$5:$A$304,"&gt;="&amp;H$22,Expenses!$A$5:$A$304,"&lt;="&amp;EOMONTH(H$22,0),Expenses!$B$5:$B$304,$A33)</f>
        <v/>
      </c>
      <c r="I33" s="41">
        <f>SUMIFS(Expenses!$D$5:$D$304,Expenses!$A$5:$A$304,"&gt;="&amp;I$22,Expenses!$A$5:$A$304,"&lt;="&amp;EOMONTH(I$22,0),Expenses!$B$5:$B$304,$A33)</f>
        <v/>
      </c>
      <c r="J33" s="41">
        <f>SUMIFS(Expenses!$D$5:$D$304,Expenses!$A$5:$A$304,"&gt;="&amp;J$22,Expenses!$A$5:$A$304,"&lt;="&amp;EOMONTH(J$22,0),Expenses!$B$5:$B$304,$A33)</f>
        <v/>
      </c>
      <c r="K33" s="41">
        <f>SUMIFS(Expenses!$D$5:$D$304,Expenses!$A$5:$A$304,"&gt;="&amp;K$22,Expenses!$A$5:$A$304,"&lt;="&amp;EOMONTH(K$22,0),Expenses!$B$5:$B$304,$A33)</f>
        <v/>
      </c>
      <c r="L33" s="41">
        <f>SUMIFS(Expenses!$D$5:$D$304,Expenses!$A$5:$A$304,"&gt;="&amp;L$22,Expenses!$A$5:$A$304,"&lt;="&amp;EOMONTH(L$22,0),Expenses!$B$5:$B$304,$A33)</f>
        <v/>
      </c>
      <c r="M33" s="41">
        <f>SUMIFS(Expenses!$D$5:$D$304,Expenses!$A$5:$A$304,"&gt;="&amp;M$22,Expenses!$A$5:$A$304,"&lt;="&amp;EOMONTH(M$22,0),Expenses!$B$5:$B$304,$A33)</f>
        <v/>
      </c>
      <c r="N33" s="20">
        <f>SUM(B33:M33)</f>
        <v/>
      </c>
      <c r="O33" s="42">
        <f>IFERROR($N33/$N$37,"")</f>
        <v/>
      </c>
    </row>
    <row r="34">
      <c r="A34" s="43">
        <f>'Start Here'!$C$21</f>
        <v/>
      </c>
      <c r="B34" s="44">
        <f>SUMIFS(Expenses!$D$5:$D$304,Expenses!$A$5:$A$304,"&gt;="&amp;B$22,Expenses!$A$5:$A$304,"&lt;="&amp;EOMONTH(B$22,0),Expenses!$B$5:$B$304,$A34)</f>
        <v/>
      </c>
      <c r="C34" s="44">
        <f>SUMIFS(Expenses!$D$5:$D$304,Expenses!$A$5:$A$304,"&gt;="&amp;C$22,Expenses!$A$5:$A$304,"&lt;="&amp;EOMONTH(C$22,0),Expenses!$B$5:$B$304,$A34)</f>
        <v/>
      </c>
      <c r="D34" s="44">
        <f>SUMIFS(Expenses!$D$5:$D$304,Expenses!$A$5:$A$304,"&gt;="&amp;D$22,Expenses!$A$5:$A$304,"&lt;="&amp;EOMONTH(D$22,0),Expenses!$B$5:$B$304,$A34)</f>
        <v/>
      </c>
      <c r="E34" s="44">
        <f>SUMIFS(Expenses!$D$5:$D$304,Expenses!$A$5:$A$304,"&gt;="&amp;E$22,Expenses!$A$5:$A$304,"&lt;="&amp;EOMONTH(E$22,0),Expenses!$B$5:$B$304,$A34)</f>
        <v/>
      </c>
      <c r="F34" s="44">
        <f>SUMIFS(Expenses!$D$5:$D$304,Expenses!$A$5:$A$304,"&gt;="&amp;F$22,Expenses!$A$5:$A$304,"&lt;="&amp;EOMONTH(F$22,0),Expenses!$B$5:$B$304,$A34)</f>
        <v/>
      </c>
      <c r="G34" s="44">
        <f>SUMIFS(Expenses!$D$5:$D$304,Expenses!$A$5:$A$304,"&gt;="&amp;G$22,Expenses!$A$5:$A$304,"&lt;="&amp;EOMONTH(G$22,0),Expenses!$B$5:$B$304,$A34)</f>
        <v/>
      </c>
      <c r="H34" s="44">
        <f>SUMIFS(Expenses!$D$5:$D$304,Expenses!$A$5:$A$304,"&gt;="&amp;H$22,Expenses!$A$5:$A$304,"&lt;="&amp;EOMONTH(H$22,0),Expenses!$B$5:$B$304,$A34)</f>
        <v/>
      </c>
      <c r="I34" s="44">
        <f>SUMIFS(Expenses!$D$5:$D$304,Expenses!$A$5:$A$304,"&gt;="&amp;I$22,Expenses!$A$5:$A$304,"&lt;="&amp;EOMONTH(I$22,0),Expenses!$B$5:$B$304,$A34)</f>
        <v/>
      </c>
      <c r="J34" s="44">
        <f>SUMIFS(Expenses!$D$5:$D$304,Expenses!$A$5:$A$304,"&gt;="&amp;J$22,Expenses!$A$5:$A$304,"&lt;="&amp;EOMONTH(J$22,0),Expenses!$B$5:$B$304,$A34)</f>
        <v/>
      </c>
      <c r="K34" s="44">
        <f>SUMIFS(Expenses!$D$5:$D$304,Expenses!$A$5:$A$304,"&gt;="&amp;K$22,Expenses!$A$5:$A$304,"&lt;="&amp;EOMONTH(K$22,0),Expenses!$B$5:$B$304,$A34)</f>
        <v/>
      </c>
      <c r="L34" s="44">
        <f>SUMIFS(Expenses!$D$5:$D$304,Expenses!$A$5:$A$304,"&gt;="&amp;L$22,Expenses!$A$5:$A$304,"&lt;="&amp;EOMONTH(L$22,0),Expenses!$B$5:$B$304,$A34)</f>
        <v/>
      </c>
      <c r="M34" s="44">
        <f>SUMIFS(Expenses!$D$5:$D$304,Expenses!$A$5:$A$304,"&gt;="&amp;M$22,Expenses!$A$5:$A$304,"&lt;="&amp;EOMONTH(M$22,0),Expenses!$B$5:$B$304,$A34)</f>
        <v/>
      </c>
      <c r="N34" s="25">
        <f>SUM(B34:M34)</f>
        <v/>
      </c>
      <c r="O34" s="45">
        <f>IFERROR($N34/$N$37,"")</f>
        <v/>
      </c>
    </row>
    <row r="35">
      <c r="A35" s="40">
        <f>'Start Here'!$C$22</f>
        <v/>
      </c>
      <c r="B35" s="41">
        <f>SUMIFS(Expenses!$D$5:$D$304,Expenses!$A$5:$A$304,"&gt;="&amp;B$22,Expenses!$A$5:$A$304,"&lt;="&amp;EOMONTH(B$22,0),Expenses!$B$5:$B$304,$A35)</f>
        <v/>
      </c>
      <c r="C35" s="41">
        <f>SUMIFS(Expenses!$D$5:$D$304,Expenses!$A$5:$A$304,"&gt;="&amp;C$22,Expenses!$A$5:$A$304,"&lt;="&amp;EOMONTH(C$22,0),Expenses!$B$5:$B$304,$A35)</f>
        <v/>
      </c>
      <c r="D35" s="41">
        <f>SUMIFS(Expenses!$D$5:$D$304,Expenses!$A$5:$A$304,"&gt;="&amp;D$22,Expenses!$A$5:$A$304,"&lt;="&amp;EOMONTH(D$22,0),Expenses!$B$5:$B$304,$A35)</f>
        <v/>
      </c>
      <c r="E35" s="41">
        <f>SUMIFS(Expenses!$D$5:$D$304,Expenses!$A$5:$A$304,"&gt;="&amp;E$22,Expenses!$A$5:$A$304,"&lt;="&amp;EOMONTH(E$22,0),Expenses!$B$5:$B$304,$A35)</f>
        <v/>
      </c>
      <c r="F35" s="41">
        <f>SUMIFS(Expenses!$D$5:$D$304,Expenses!$A$5:$A$304,"&gt;="&amp;F$22,Expenses!$A$5:$A$304,"&lt;="&amp;EOMONTH(F$22,0),Expenses!$B$5:$B$304,$A35)</f>
        <v/>
      </c>
      <c r="G35" s="41">
        <f>SUMIFS(Expenses!$D$5:$D$304,Expenses!$A$5:$A$304,"&gt;="&amp;G$22,Expenses!$A$5:$A$304,"&lt;="&amp;EOMONTH(G$22,0),Expenses!$B$5:$B$304,$A35)</f>
        <v/>
      </c>
      <c r="H35" s="41">
        <f>SUMIFS(Expenses!$D$5:$D$304,Expenses!$A$5:$A$304,"&gt;="&amp;H$22,Expenses!$A$5:$A$304,"&lt;="&amp;EOMONTH(H$22,0),Expenses!$B$5:$B$304,$A35)</f>
        <v/>
      </c>
      <c r="I35" s="41">
        <f>SUMIFS(Expenses!$D$5:$D$304,Expenses!$A$5:$A$304,"&gt;="&amp;I$22,Expenses!$A$5:$A$304,"&lt;="&amp;EOMONTH(I$22,0),Expenses!$B$5:$B$304,$A35)</f>
        <v/>
      </c>
      <c r="J35" s="41">
        <f>SUMIFS(Expenses!$D$5:$D$304,Expenses!$A$5:$A$304,"&gt;="&amp;J$22,Expenses!$A$5:$A$304,"&lt;="&amp;EOMONTH(J$22,0),Expenses!$B$5:$B$304,$A35)</f>
        <v/>
      </c>
      <c r="K35" s="41">
        <f>SUMIFS(Expenses!$D$5:$D$304,Expenses!$A$5:$A$304,"&gt;="&amp;K$22,Expenses!$A$5:$A$304,"&lt;="&amp;EOMONTH(K$22,0),Expenses!$B$5:$B$304,$A35)</f>
        <v/>
      </c>
      <c r="L35" s="41">
        <f>SUMIFS(Expenses!$D$5:$D$304,Expenses!$A$5:$A$304,"&gt;="&amp;L$22,Expenses!$A$5:$A$304,"&lt;="&amp;EOMONTH(L$22,0),Expenses!$B$5:$B$304,$A35)</f>
        <v/>
      </c>
      <c r="M35" s="41">
        <f>SUMIFS(Expenses!$D$5:$D$304,Expenses!$A$5:$A$304,"&gt;="&amp;M$22,Expenses!$A$5:$A$304,"&lt;="&amp;EOMONTH(M$22,0),Expenses!$B$5:$B$304,$A35)</f>
        <v/>
      </c>
      <c r="N35" s="20">
        <f>SUM(B35:M35)</f>
        <v/>
      </c>
      <c r="O35" s="42">
        <f>IFERROR($N35/$N$37,"")</f>
        <v/>
      </c>
    </row>
    <row r="36">
      <c r="A36" s="43">
        <f>'Start Here'!$C$23</f>
        <v/>
      </c>
      <c r="B36" s="44">
        <f>SUMIFS(Expenses!$D$5:$D$304,Expenses!$A$5:$A$304,"&gt;="&amp;B$22,Expenses!$A$5:$A$304,"&lt;="&amp;EOMONTH(B$22,0),Expenses!$B$5:$B$304,$A36)</f>
        <v/>
      </c>
      <c r="C36" s="44">
        <f>SUMIFS(Expenses!$D$5:$D$304,Expenses!$A$5:$A$304,"&gt;="&amp;C$22,Expenses!$A$5:$A$304,"&lt;="&amp;EOMONTH(C$22,0),Expenses!$B$5:$B$304,$A36)</f>
        <v/>
      </c>
      <c r="D36" s="44">
        <f>SUMIFS(Expenses!$D$5:$D$304,Expenses!$A$5:$A$304,"&gt;="&amp;D$22,Expenses!$A$5:$A$304,"&lt;="&amp;EOMONTH(D$22,0),Expenses!$B$5:$B$304,$A36)</f>
        <v/>
      </c>
      <c r="E36" s="44">
        <f>SUMIFS(Expenses!$D$5:$D$304,Expenses!$A$5:$A$304,"&gt;="&amp;E$22,Expenses!$A$5:$A$304,"&lt;="&amp;EOMONTH(E$22,0),Expenses!$B$5:$B$304,$A36)</f>
        <v/>
      </c>
      <c r="F36" s="44">
        <f>SUMIFS(Expenses!$D$5:$D$304,Expenses!$A$5:$A$304,"&gt;="&amp;F$22,Expenses!$A$5:$A$304,"&lt;="&amp;EOMONTH(F$22,0),Expenses!$B$5:$B$304,$A36)</f>
        <v/>
      </c>
      <c r="G36" s="44">
        <f>SUMIFS(Expenses!$D$5:$D$304,Expenses!$A$5:$A$304,"&gt;="&amp;G$22,Expenses!$A$5:$A$304,"&lt;="&amp;EOMONTH(G$22,0),Expenses!$B$5:$B$304,$A36)</f>
        <v/>
      </c>
      <c r="H36" s="44">
        <f>SUMIFS(Expenses!$D$5:$D$304,Expenses!$A$5:$A$304,"&gt;="&amp;H$22,Expenses!$A$5:$A$304,"&lt;="&amp;EOMONTH(H$22,0),Expenses!$B$5:$B$304,$A36)</f>
        <v/>
      </c>
      <c r="I36" s="44">
        <f>SUMIFS(Expenses!$D$5:$D$304,Expenses!$A$5:$A$304,"&gt;="&amp;I$22,Expenses!$A$5:$A$304,"&lt;="&amp;EOMONTH(I$22,0),Expenses!$B$5:$B$304,$A36)</f>
        <v/>
      </c>
      <c r="J36" s="44">
        <f>SUMIFS(Expenses!$D$5:$D$304,Expenses!$A$5:$A$304,"&gt;="&amp;J$22,Expenses!$A$5:$A$304,"&lt;="&amp;EOMONTH(J$22,0),Expenses!$B$5:$B$304,$A36)</f>
        <v/>
      </c>
      <c r="K36" s="44">
        <f>SUMIFS(Expenses!$D$5:$D$304,Expenses!$A$5:$A$304,"&gt;="&amp;K$22,Expenses!$A$5:$A$304,"&lt;="&amp;EOMONTH(K$22,0),Expenses!$B$5:$B$304,$A36)</f>
        <v/>
      </c>
      <c r="L36" s="44">
        <f>SUMIFS(Expenses!$D$5:$D$304,Expenses!$A$5:$A$304,"&gt;="&amp;L$22,Expenses!$A$5:$A$304,"&lt;="&amp;EOMONTH(L$22,0),Expenses!$B$5:$B$304,$A36)</f>
        <v/>
      </c>
      <c r="M36" s="44">
        <f>SUMIFS(Expenses!$D$5:$D$304,Expenses!$A$5:$A$304,"&gt;="&amp;M$22,Expenses!$A$5:$A$304,"&lt;="&amp;EOMONTH(M$22,0),Expenses!$B$5:$B$304,$A36)</f>
        <v/>
      </c>
      <c r="N36" s="25">
        <f>SUM(B36:M36)</f>
        <v/>
      </c>
      <c r="O36" s="45">
        <f>IFERROR($N36/$N$37,"")</f>
        <v/>
      </c>
    </row>
    <row r="37">
      <c r="A37" s="46" t="inlineStr">
        <is>
          <t>TOTAL</t>
        </is>
      </c>
      <c r="B37" s="47">
        <f>SUM(B23:B36)</f>
        <v/>
      </c>
      <c r="C37" s="47">
        <f>SUM(C23:C36)</f>
        <v/>
      </c>
      <c r="D37" s="47">
        <f>SUM(D23:D36)</f>
        <v/>
      </c>
      <c r="E37" s="47">
        <f>SUM(E23:E36)</f>
        <v/>
      </c>
      <c r="F37" s="47">
        <f>SUM(F23:F36)</f>
        <v/>
      </c>
      <c r="G37" s="47">
        <f>SUM(G23:G36)</f>
        <v/>
      </c>
      <c r="H37" s="47">
        <f>SUM(H23:H36)</f>
        <v/>
      </c>
      <c r="I37" s="47">
        <f>SUM(I23:I36)</f>
        <v/>
      </c>
      <c r="J37" s="47">
        <f>SUM(J23:J36)</f>
        <v/>
      </c>
      <c r="K37" s="47">
        <f>SUM(K23:K36)</f>
        <v/>
      </c>
      <c r="L37" s="47">
        <f>SUM(L23:L36)</f>
        <v/>
      </c>
      <c r="M37" s="47">
        <f>SUM(M23:M36)</f>
        <v/>
      </c>
      <c r="N37" s="47">
        <f>SUM(N23:N36)</f>
        <v/>
      </c>
      <c r="O37" s="48">
        <f>IFERROR(N37/N37,"")</f>
        <v/>
      </c>
    </row>
    <row r="39">
      <c r="A39" s="6" t="inlineStr">
        <is>
          <t>Category totals only count expenses whose category matches a label on the Start Here tab — if a row on the Expenses tab is left uncategorised it lands in the monthly totals above but not in this grid.</t>
        </is>
      </c>
    </row>
  </sheetData>
  <mergeCells count="2">
    <mergeCell ref="A17:C17"/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2026-08-06T02:56:21Z</dcterms:created>
  <dcterms:modified xsi:type="dcterms:W3CDTF">2026-08-06T02:56:21Z</dcterms:modified>
</cp:coreProperties>
</file>