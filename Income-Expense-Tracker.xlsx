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$#,##0.00;($#,##0.00);&quot;-&quot;"/>
    <numFmt numFmtId="167" formatCode="mmmm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2F3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65" fontId="4" fillId="0" borderId="1" pivotButton="0" quotePrefix="0" xfId="0"/>
    <xf numFmtId="166" fontId="4" fillId="3" borderId="1" pivotButton="0" quotePrefix="0" xfId="0"/>
    <xf numFmtId="166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7" fontId="4" fillId="0" borderId="1" pivotButton="0" quotePrefix="0" xfId="0"/>
    <xf numFmtId="166" fontId="4" fillId="0" borderId="1" pivotButton="0" quotePrefix="0" xfId="0"/>
    <xf numFmtId="167" fontId="4" fillId="5" borderId="1" pivotButton="0" quotePrefix="0" xfId="0"/>
    <xf numFmtId="165" fontId="4" fillId="5" borderId="1" pivotButton="0" quotePrefix="0" xfId="0"/>
    <xf numFmtId="166" fontId="4" fillId="5" borderId="1" pivotButton="0" quotePrefix="0" xfId="0"/>
    <xf numFmtId="166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Weekly Tracker 2026</t>
        </is>
      </c>
    </row>
    <row r="2">
      <c r="A2" s="2" t="inlineStr">
        <is>
          <t>Type in the yellow columns only. Everything else adds itself up.</t>
        </is>
      </c>
    </row>
    <row r="4" ht="24" customHeight="1">
      <c r="A4" s="3" t="inlineStr">
        <is>
          <t>Week Starting</t>
        </is>
      </c>
      <c r="B4" s="3" t="inlineStr">
        <is>
          <t>Salary</t>
        </is>
      </c>
      <c r="C4" s="3" t="inlineStr">
        <is>
          <t>Freelance</t>
        </is>
      </c>
      <c r="D4" s="3" t="inlineStr">
        <is>
          <t>Total Income</t>
        </is>
      </c>
      <c r="E4" s="3" t="inlineStr">
        <is>
          <t>Expenses</t>
        </is>
      </c>
      <c r="F4" s="3" t="inlineStr">
        <is>
          <t>Net</t>
        </is>
      </c>
    </row>
    <row r="5">
      <c r="A5" s="4" t="n">
        <v>46020</v>
      </c>
      <c r="B5" s="5" t="n"/>
      <c r="C5" s="5" t="n"/>
      <c r="D5" s="6">
        <f>B5+C5</f>
        <v/>
      </c>
      <c r="E5" s="5" t="n"/>
      <c r="F5" s="6">
        <f>D5-E5</f>
        <v/>
      </c>
    </row>
    <row r="6">
      <c r="A6" s="4" t="n">
        <v>46027</v>
      </c>
      <c r="B6" s="5" t="n"/>
      <c r="C6" s="5" t="n"/>
      <c r="D6" s="6">
        <f>B6+C6</f>
        <v/>
      </c>
      <c r="E6" s="5" t="n"/>
      <c r="F6" s="6">
        <f>D6-E6</f>
        <v/>
      </c>
    </row>
    <row r="7">
      <c r="A7" s="4" t="n">
        <v>46034</v>
      </c>
      <c r="B7" s="5" t="n"/>
      <c r="C7" s="5" t="n"/>
      <c r="D7" s="6">
        <f>B7+C7</f>
        <v/>
      </c>
      <c r="E7" s="5" t="n"/>
      <c r="F7" s="6">
        <f>D7-E7</f>
        <v/>
      </c>
    </row>
    <row r="8">
      <c r="A8" s="4" t="n">
        <v>46041</v>
      </c>
      <c r="B8" s="5" t="n"/>
      <c r="C8" s="5" t="n"/>
      <c r="D8" s="6">
        <f>B8+C8</f>
        <v/>
      </c>
      <c r="E8" s="5" t="n"/>
      <c r="F8" s="6">
        <f>D8-E8</f>
        <v/>
      </c>
    </row>
    <row r="9">
      <c r="A9" s="4" t="n">
        <v>46048</v>
      </c>
      <c r="B9" s="5" t="n"/>
      <c r="C9" s="5" t="n"/>
      <c r="D9" s="6">
        <f>B9+C9</f>
        <v/>
      </c>
      <c r="E9" s="5" t="n"/>
      <c r="F9" s="6">
        <f>D9-E9</f>
        <v/>
      </c>
    </row>
    <row r="10">
      <c r="A10" s="4" t="n">
        <v>46055</v>
      </c>
      <c r="B10" s="5" t="n"/>
      <c r="C10" s="5" t="n"/>
      <c r="D10" s="6">
        <f>B10+C10</f>
        <v/>
      </c>
      <c r="E10" s="5" t="n"/>
      <c r="F10" s="6">
        <f>D10-E10</f>
        <v/>
      </c>
    </row>
    <row r="11">
      <c r="A11" s="4" t="n">
        <v>46062</v>
      </c>
      <c r="B11" s="5" t="n"/>
      <c r="C11" s="5" t="n"/>
      <c r="D11" s="6">
        <f>B11+C11</f>
        <v/>
      </c>
      <c r="E11" s="5" t="n"/>
      <c r="F11" s="6">
        <f>D11-E11</f>
        <v/>
      </c>
    </row>
    <row r="12">
      <c r="A12" s="4" t="n">
        <v>46069</v>
      </c>
      <c r="B12" s="5" t="n"/>
      <c r="C12" s="5" t="n"/>
      <c r="D12" s="6">
        <f>B12+C12</f>
        <v/>
      </c>
      <c r="E12" s="5" t="n"/>
      <c r="F12" s="6">
        <f>D12-E12</f>
        <v/>
      </c>
    </row>
    <row r="13">
      <c r="A13" s="4" t="n">
        <v>46076</v>
      </c>
      <c r="B13" s="5" t="n"/>
      <c r="C13" s="5" t="n"/>
      <c r="D13" s="6">
        <f>B13+C13</f>
        <v/>
      </c>
      <c r="E13" s="5" t="n"/>
      <c r="F13" s="6">
        <f>D13-E13</f>
        <v/>
      </c>
    </row>
    <row r="14">
      <c r="A14" s="4" t="n">
        <v>46083</v>
      </c>
      <c r="B14" s="5" t="n"/>
      <c r="C14" s="5" t="n"/>
      <c r="D14" s="6">
        <f>B14+C14</f>
        <v/>
      </c>
      <c r="E14" s="5" t="n"/>
      <c r="F14" s="6">
        <f>D14-E14</f>
        <v/>
      </c>
    </row>
    <row r="15">
      <c r="A15" s="4" t="n">
        <v>46090</v>
      </c>
      <c r="B15" s="5" t="n"/>
      <c r="C15" s="5" t="n"/>
      <c r="D15" s="6">
        <f>B15+C15</f>
        <v/>
      </c>
      <c r="E15" s="5" t="n"/>
      <c r="F15" s="6">
        <f>D15-E15</f>
        <v/>
      </c>
    </row>
    <row r="16">
      <c r="A16" s="4" t="n">
        <v>46097</v>
      </c>
      <c r="B16" s="5" t="n"/>
      <c r="C16" s="5" t="n"/>
      <c r="D16" s="6">
        <f>B16+C16</f>
        <v/>
      </c>
      <c r="E16" s="5" t="n"/>
      <c r="F16" s="6">
        <f>D16-E16</f>
        <v/>
      </c>
    </row>
    <row r="17">
      <c r="A17" s="4" t="n">
        <v>46104</v>
      </c>
      <c r="B17" s="5" t="n"/>
      <c r="C17" s="5" t="n"/>
      <c r="D17" s="6">
        <f>B17+C17</f>
        <v/>
      </c>
      <c r="E17" s="5" t="n"/>
      <c r="F17" s="6">
        <f>D17-E17</f>
        <v/>
      </c>
    </row>
    <row r="18">
      <c r="A18" s="4" t="n">
        <v>46111</v>
      </c>
      <c r="B18" s="5" t="n"/>
      <c r="C18" s="5" t="n"/>
      <c r="D18" s="6">
        <f>B18+C18</f>
        <v/>
      </c>
      <c r="E18" s="5" t="n"/>
      <c r="F18" s="6">
        <f>D18-E18</f>
        <v/>
      </c>
    </row>
    <row r="19">
      <c r="A19" s="4" t="n">
        <v>46118</v>
      </c>
      <c r="B19" s="5" t="n"/>
      <c r="C19" s="5" t="n"/>
      <c r="D19" s="6">
        <f>B19+C19</f>
        <v/>
      </c>
      <c r="E19" s="5" t="n"/>
      <c r="F19" s="6">
        <f>D19-E19</f>
        <v/>
      </c>
    </row>
    <row r="20">
      <c r="A20" s="4" t="n">
        <v>46125</v>
      </c>
      <c r="B20" s="5" t="n"/>
      <c r="C20" s="5" t="n"/>
      <c r="D20" s="6">
        <f>B20+C20</f>
        <v/>
      </c>
      <c r="E20" s="5" t="n"/>
      <c r="F20" s="6">
        <f>D20-E20</f>
        <v/>
      </c>
    </row>
    <row r="21">
      <c r="A21" s="4" t="n">
        <v>46132</v>
      </c>
      <c r="B21" s="5" t="n"/>
      <c r="C21" s="5" t="n"/>
      <c r="D21" s="6">
        <f>B21+C21</f>
        <v/>
      </c>
      <c r="E21" s="5" t="n"/>
      <c r="F21" s="6">
        <f>D21-E21</f>
        <v/>
      </c>
    </row>
    <row r="22">
      <c r="A22" s="4" t="n">
        <v>46139</v>
      </c>
      <c r="B22" s="5" t="n"/>
      <c r="C22" s="5" t="n"/>
      <c r="D22" s="6">
        <f>B22+C22</f>
        <v/>
      </c>
      <c r="E22" s="5" t="n"/>
      <c r="F22" s="6">
        <f>D22-E22</f>
        <v/>
      </c>
    </row>
    <row r="23">
      <c r="A23" s="4" t="n">
        <v>46146</v>
      </c>
      <c r="B23" s="5" t="n"/>
      <c r="C23" s="5" t="n"/>
      <c r="D23" s="6">
        <f>B23+C23</f>
        <v/>
      </c>
      <c r="E23" s="5" t="n"/>
      <c r="F23" s="6">
        <f>D23-E23</f>
        <v/>
      </c>
    </row>
    <row r="24">
      <c r="A24" s="4" t="n">
        <v>46153</v>
      </c>
      <c r="B24" s="5" t="n"/>
      <c r="C24" s="5" t="n"/>
      <c r="D24" s="6">
        <f>B24+C24</f>
        <v/>
      </c>
      <c r="E24" s="5" t="n"/>
      <c r="F24" s="6">
        <f>D24-E24</f>
        <v/>
      </c>
    </row>
    <row r="25">
      <c r="A25" s="4" t="n">
        <v>46160</v>
      </c>
      <c r="B25" s="5" t="n"/>
      <c r="C25" s="5" t="n"/>
      <c r="D25" s="6">
        <f>B25+C25</f>
        <v/>
      </c>
      <c r="E25" s="5" t="n"/>
      <c r="F25" s="6">
        <f>D25-E25</f>
        <v/>
      </c>
    </row>
    <row r="26">
      <c r="A26" s="4" t="n">
        <v>46167</v>
      </c>
      <c r="B26" s="5" t="n"/>
      <c r="C26" s="5" t="n"/>
      <c r="D26" s="6">
        <f>B26+C26</f>
        <v/>
      </c>
      <c r="E26" s="5" t="n"/>
      <c r="F26" s="6">
        <f>D26-E26</f>
        <v/>
      </c>
    </row>
    <row r="27">
      <c r="A27" s="4" t="n">
        <v>46174</v>
      </c>
      <c r="B27" s="5" t="n"/>
      <c r="C27" s="5" t="n"/>
      <c r="D27" s="6">
        <f>B27+C27</f>
        <v/>
      </c>
      <c r="E27" s="5" t="n"/>
      <c r="F27" s="6">
        <f>D27-E27</f>
        <v/>
      </c>
    </row>
    <row r="28">
      <c r="A28" s="4" t="n">
        <v>46181</v>
      </c>
      <c r="B28" s="5" t="n"/>
      <c r="C28" s="5" t="n"/>
      <c r="D28" s="6">
        <f>B28+C28</f>
        <v/>
      </c>
      <c r="E28" s="5" t="n"/>
      <c r="F28" s="6">
        <f>D28-E28</f>
        <v/>
      </c>
    </row>
    <row r="29">
      <c r="A29" s="4" t="n">
        <v>46188</v>
      </c>
      <c r="B29" s="5" t="n"/>
      <c r="C29" s="5" t="n"/>
      <c r="D29" s="6">
        <f>B29+C29</f>
        <v/>
      </c>
      <c r="E29" s="5" t="n"/>
      <c r="F29" s="6">
        <f>D29-E29</f>
        <v/>
      </c>
    </row>
    <row r="30">
      <c r="A30" s="4" t="n">
        <v>46195</v>
      </c>
      <c r="B30" s="5" t="n"/>
      <c r="C30" s="5" t="n"/>
      <c r="D30" s="6">
        <f>B30+C30</f>
        <v/>
      </c>
      <c r="E30" s="5" t="n"/>
      <c r="F30" s="6">
        <f>D30-E30</f>
        <v/>
      </c>
    </row>
    <row r="31">
      <c r="A31" s="4" t="n">
        <v>46202</v>
      </c>
      <c r="B31" s="5" t="n"/>
      <c r="C31" s="5" t="n"/>
      <c r="D31" s="6">
        <f>B31+C31</f>
        <v/>
      </c>
      <c r="E31" s="5" t="n"/>
      <c r="F31" s="6">
        <f>D31-E31</f>
        <v/>
      </c>
    </row>
    <row r="32">
      <c r="A32" s="4" t="n">
        <v>46209</v>
      </c>
      <c r="B32" s="5" t="n"/>
      <c r="C32" s="5" t="n"/>
      <c r="D32" s="6">
        <f>B32+C32</f>
        <v/>
      </c>
      <c r="E32" s="5" t="n"/>
      <c r="F32" s="6">
        <f>D32-E32</f>
        <v/>
      </c>
    </row>
    <row r="33">
      <c r="A33" s="4" t="n">
        <v>46216</v>
      </c>
      <c r="B33" s="5" t="n"/>
      <c r="C33" s="5" t="n"/>
      <c r="D33" s="6">
        <f>B33+C33</f>
        <v/>
      </c>
      <c r="E33" s="5" t="n"/>
      <c r="F33" s="6">
        <f>D33-E33</f>
        <v/>
      </c>
    </row>
    <row r="34">
      <c r="A34" s="4" t="n">
        <v>46223</v>
      </c>
      <c r="B34" s="5" t="n"/>
      <c r="C34" s="5" t="n"/>
      <c r="D34" s="6">
        <f>B34+C34</f>
        <v/>
      </c>
      <c r="E34" s="5" t="n"/>
      <c r="F34" s="6">
        <f>D34-E34</f>
        <v/>
      </c>
    </row>
    <row r="35">
      <c r="A35" s="4" t="n">
        <v>46230</v>
      </c>
      <c r="B35" s="5" t="n"/>
      <c r="C35" s="5" t="n"/>
      <c r="D35" s="6">
        <f>B35+C35</f>
        <v/>
      </c>
      <c r="E35" s="5" t="n"/>
      <c r="F35" s="6">
        <f>D35-E35</f>
        <v/>
      </c>
    </row>
    <row r="36">
      <c r="A36" s="4" t="n">
        <v>46237</v>
      </c>
      <c r="B36" s="5" t="n"/>
      <c r="C36" s="5" t="n"/>
      <c r="D36" s="6">
        <f>B36+C36</f>
        <v/>
      </c>
      <c r="E36" s="5" t="n"/>
      <c r="F36" s="6">
        <f>D36-E36</f>
        <v/>
      </c>
    </row>
    <row r="37">
      <c r="A37" s="4" t="n">
        <v>46244</v>
      </c>
      <c r="B37" s="5" t="n"/>
      <c r="C37" s="5" t="n"/>
      <c r="D37" s="6">
        <f>B37+C37</f>
        <v/>
      </c>
      <c r="E37" s="5" t="n"/>
      <c r="F37" s="6">
        <f>D37-E37</f>
        <v/>
      </c>
    </row>
    <row r="38">
      <c r="A38" s="4" t="n">
        <v>46251</v>
      </c>
      <c r="B38" s="5" t="n"/>
      <c r="C38" s="5" t="n"/>
      <c r="D38" s="6">
        <f>B38+C38</f>
        <v/>
      </c>
      <c r="E38" s="5" t="n"/>
      <c r="F38" s="6">
        <f>D38-E38</f>
        <v/>
      </c>
    </row>
    <row r="39">
      <c r="A39" s="4" t="n">
        <v>46258</v>
      </c>
      <c r="B39" s="5" t="n"/>
      <c r="C39" s="5" t="n"/>
      <c r="D39" s="6">
        <f>B39+C39</f>
        <v/>
      </c>
      <c r="E39" s="5" t="n"/>
      <c r="F39" s="6">
        <f>D39-E39</f>
        <v/>
      </c>
    </row>
    <row r="40">
      <c r="A40" s="4" t="n">
        <v>46265</v>
      </c>
      <c r="B40" s="5" t="n"/>
      <c r="C40" s="5" t="n"/>
      <c r="D40" s="6">
        <f>B40+C40</f>
        <v/>
      </c>
      <c r="E40" s="5" t="n"/>
      <c r="F40" s="6">
        <f>D40-E40</f>
        <v/>
      </c>
    </row>
    <row r="41">
      <c r="A41" s="4" t="n">
        <v>46272</v>
      </c>
      <c r="B41" s="5" t="n"/>
      <c r="C41" s="5" t="n"/>
      <c r="D41" s="6">
        <f>B41+C41</f>
        <v/>
      </c>
      <c r="E41" s="5" t="n"/>
      <c r="F41" s="6">
        <f>D41-E41</f>
        <v/>
      </c>
    </row>
    <row r="42">
      <c r="A42" s="4" t="n">
        <v>46279</v>
      </c>
      <c r="B42" s="5" t="n"/>
      <c r="C42" s="5" t="n"/>
      <c r="D42" s="6">
        <f>B42+C42</f>
        <v/>
      </c>
      <c r="E42" s="5" t="n"/>
      <c r="F42" s="6">
        <f>D42-E42</f>
        <v/>
      </c>
    </row>
    <row r="43">
      <c r="A43" s="4" t="n">
        <v>46286</v>
      </c>
      <c r="B43" s="5" t="n"/>
      <c r="C43" s="5" t="n"/>
      <c r="D43" s="6">
        <f>B43+C43</f>
        <v/>
      </c>
      <c r="E43" s="5" t="n"/>
      <c r="F43" s="6">
        <f>D43-E43</f>
        <v/>
      </c>
    </row>
    <row r="44">
      <c r="A44" s="4" t="n">
        <v>46293</v>
      </c>
      <c r="B44" s="5" t="n"/>
      <c r="C44" s="5" t="n"/>
      <c r="D44" s="6">
        <f>B44+C44</f>
        <v/>
      </c>
      <c r="E44" s="5" t="n"/>
      <c r="F44" s="6">
        <f>D44-E44</f>
        <v/>
      </c>
    </row>
    <row r="45">
      <c r="A45" s="4" t="n">
        <v>46300</v>
      </c>
      <c r="B45" s="5" t="n"/>
      <c r="C45" s="5" t="n"/>
      <c r="D45" s="6">
        <f>B45+C45</f>
        <v/>
      </c>
      <c r="E45" s="5" t="n"/>
      <c r="F45" s="6">
        <f>D45-E45</f>
        <v/>
      </c>
    </row>
    <row r="46">
      <c r="A46" s="4" t="n">
        <v>46307</v>
      </c>
      <c r="B46" s="5" t="n"/>
      <c r="C46" s="5" t="n"/>
      <c r="D46" s="6">
        <f>B46+C46</f>
        <v/>
      </c>
      <c r="E46" s="5" t="n"/>
      <c r="F46" s="6">
        <f>D46-E46</f>
        <v/>
      </c>
    </row>
    <row r="47">
      <c r="A47" s="4" t="n">
        <v>46314</v>
      </c>
      <c r="B47" s="5" t="n"/>
      <c r="C47" s="5" t="n"/>
      <c r="D47" s="6">
        <f>B47+C47</f>
        <v/>
      </c>
      <c r="E47" s="5" t="n"/>
      <c r="F47" s="6">
        <f>D47-E47</f>
        <v/>
      </c>
    </row>
    <row r="48">
      <c r="A48" s="4" t="n">
        <v>46321</v>
      </c>
      <c r="B48" s="5" t="n"/>
      <c r="C48" s="5" t="n"/>
      <c r="D48" s="6">
        <f>B48+C48</f>
        <v/>
      </c>
      <c r="E48" s="5" t="n"/>
      <c r="F48" s="6">
        <f>D48-E48</f>
        <v/>
      </c>
    </row>
    <row r="49">
      <c r="A49" s="4" t="n">
        <v>46328</v>
      </c>
      <c r="B49" s="5" t="n"/>
      <c r="C49" s="5" t="n"/>
      <c r="D49" s="6">
        <f>B49+C49</f>
        <v/>
      </c>
      <c r="E49" s="5" t="n"/>
      <c r="F49" s="6">
        <f>D49-E49</f>
        <v/>
      </c>
    </row>
    <row r="50">
      <c r="A50" s="4" t="n">
        <v>46335</v>
      </c>
      <c r="B50" s="5" t="n"/>
      <c r="C50" s="5" t="n"/>
      <c r="D50" s="6">
        <f>B50+C50</f>
        <v/>
      </c>
      <c r="E50" s="5" t="n"/>
      <c r="F50" s="6">
        <f>D50-E50</f>
        <v/>
      </c>
    </row>
    <row r="51">
      <c r="A51" s="4" t="n">
        <v>46342</v>
      </c>
      <c r="B51" s="5" t="n"/>
      <c r="C51" s="5" t="n"/>
      <c r="D51" s="6">
        <f>B51+C51</f>
        <v/>
      </c>
      <c r="E51" s="5" t="n"/>
      <c r="F51" s="6">
        <f>D51-E51</f>
        <v/>
      </c>
    </row>
    <row r="52">
      <c r="A52" s="4" t="n">
        <v>46349</v>
      </c>
      <c r="B52" s="5" t="n"/>
      <c r="C52" s="5" t="n"/>
      <c r="D52" s="6">
        <f>B52+C52</f>
        <v/>
      </c>
      <c r="E52" s="5" t="n"/>
      <c r="F52" s="6">
        <f>D52-E52</f>
        <v/>
      </c>
    </row>
    <row r="53">
      <c r="A53" s="4" t="n">
        <v>46356</v>
      </c>
      <c r="B53" s="5" t="n"/>
      <c r="C53" s="5" t="n"/>
      <c r="D53" s="6">
        <f>B53+C53</f>
        <v/>
      </c>
      <c r="E53" s="5" t="n"/>
      <c r="F53" s="6">
        <f>D53-E53</f>
        <v/>
      </c>
    </row>
    <row r="54">
      <c r="A54" s="4" t="n">
        <v>46363</v>
      </c>
      <c r="B54" s="5" t="n"/>
      <c r="C54" s="5" t="n"/>
      <c r="D54" s="6">
        <f>B54+C54</f>
        <v/>
      </c>
      <c r="E54" s="5" t="n"/>
      <c r="F54" s="6">
        <f>D54-E54</f>
        <v/>
      </c>
    </row>
    <row r="55">
      <c r="A55" s="4" t="n">
        <v>46370</v>
      </c>
      <c r="B55" s="5" t="n"/>
      <c r="C55" s="5" t="n"/>
      <c r="D55" s="6">
        <f>B55+C55</f>
        <v/>
      </c>
      <c r="E55" s="5" t="n"/>
      <c r="F55" s="6">
        <f>D55-E55</f>
        <v/>
      </c>
    </row>
    <row r="56">
      <c r="A56" s="4" t="n">
        <v>46377</v>
      </c>
      <c r="B56" s="5" t="n"/>
      <c r="C56" s="5" t="n"/>
      <c r="D56" s="6">
        <f>B56+C56</f>
        <v/>
      </c>
      <c r="E56" s="5" t="n"/>
      <c r="F56" s="6">
        <f>D56-E56</f>
        <v/>
      </c>
    </row>
    <row r="57">
      <c r="A57" s="4" t="n">
        <v>46384</v>
      </c>
      <c r="B57" s="5" t="n"/>
      <c r="C57" s="5" t="n"/>
      <c r="D57" s="6">
        <f>B57+C57</f>
        <v/>
      </c>
      <c r="E57" s="5" t="n"/>
      <c r="F57" s="6">
        <f>D57-E57</f>
        <v/>
      </c>
    </row>
    <row r="58">
      <c r="A58" s="7" t="inlineStr">
        <is>
          <t>YEAR TOTAL</t>
        </is>
      </c>
      <c r="B58" s="8">
        <f>SUM(B5:B57)</f>
        <v/>
      </c>
      <c r="C58" s="8">
        <f>SUM(C5:C57)</f>
        <v/>
      </c>
      <c r="D58" s="8">
        <f>SUM(D5:D57)</f>
        <v/>
      </c>
      <c r="E58" s="8">
        <f>SUM(E5:E57)</f>
        <v/>
      </c>
      <c r="F58" s="8">
        <f>D58-E58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hidden="1"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Monthly Totals 2026</t>
        </is>
      </c>
    </row>
    <row r="2">
      <c r="A2" s="2" t="inlineStr">
        <is>
          <t>All calculated from the Weekly tab. Nothing to type here.</t>
        </is>
      </c>
    </row>
    <row r="4" ht="24" customHeight="1">
      <c r="A4" s="3" t="inlineStr">
        <is>
          <t>Month</t>
        </is>
      </c>
      <c r="B4" s="3" t="inlineStr">
        <is>
          <t>start</t>
        </is>
      </c>
      <c r="C4" s="3">
        <f>Weekly!B4</f>
        <v/>
      </c>
      <c r="D4" s="3">
        <f>Weekly!C4</f>
        <v/>
      </c>
      <c r="E4" s="3" t="inlineStr">
        <is>
          <t>Total Income</t>
        </is>
      </c>
      <c r="F4" s="3" t="inlineStr">
        <is>
          <t>Expenses</t>
        </is>
      </c>
      <c r="G4" s="3" t="inlineStr">
        <is>
          <t>Net</t>
        </is>
      </c>
    </row>
    <row r="5">
      <c r="A5" s="9" t="n">
        <v>46023</v>
      </c>
      <c r="B5" s="4" t="n">
        <v>46023</v>
      </c>
      <c r="C5" s="10">
        <f>SUMIFS(Weekly!$B$5:$B$57,Weekly!$A$5:$A$57,"&gt;="&amp;$B5,Weekly!$A$5:$A$57,"&lt;="&amp;EOMONTH($B5,0))</f>
        <v/>
      </c>
      <c r="D5" s="10">
        <f>SUMIFS(Weekly!$C$5:$C$57,Weekly!$A$5:$A$57,"&gt;="&amp;$B5,Weekly!$A$5:$A$57,"&lt;="&amp;EOMONTH($B5,0))</f>
        <v/>
      </c>
      <c r="E5" s="6">
        <f>C5+D5</f>
        <v/>
      </c>
      <c r="F5" s="10">
        <f>SUMIFS(Weekly!$E$5:$E$57,Weekly!$A$5:$A$57,"&gt;="&amp;$B5,Weekly!$A$5:$A$57,"&lt;="&amp;EOMONTH($B5,0))</f>
        <v/>
      </c>
      <c r="G5" s="6">
        <f>E5-F5</f>
        <v/>
      </c>
    </row>
    <row r="6">
      <c r="A6" s="11" t="n">
        <v>46054</v>
      </c>
      <c r="B6" s="12" t="n">
        <v>46054</v>
      </c>
      <c r="C6" s="13">
        <f>SUMIFS(Weekly!$B$5:$B$57,Weekly!$A$5:$A$57,"&gt;="&amp;$B6,Weekly!$A$5:$A$57,"&lt;="&amp;EOMONTH($B6,0))</f>
        <v/>
      </c>
      <c r="D6" s="13">
        <f>SUMIFS(Weekly!$C$5:$C$57,Weekly!$A$5:$A$57,"&gt;="&amp;$B6,Weekly!$A$5:$A$57,"&lt;="&amp;EOMONTH($B6,0))</f>
        <v/>
      </c>
      <c r="E6" s="14">
        <f>C6+D6</f>
        <v/>
      </c>
      <c r="F6" s="13">
        <f>SUMIFS(Weekly!$E$5:$E$57,Weekly!$A$5:$A$57,"&gt;="&amp;$B6,Weekly!$A$5:$A$57,"&lt;="&amp;EOMONTH($B6,0))</f>
        <v/>
      </c>
      <c r="G6" s="14">
        <f>E6-F6</f>
        <v/>
      </c>
    </row>
    <row r="7">
      <c r="A7" s="9" t="n">
        <v>46082</v>
      </c>
      <c r="B7" s="4" t="n">
        <v>46082</v>
      </c>
      <c r="C7" s="10">
        <f>SUMIFS(Weekly!$B$5:$B$57,Weekly!$A$5:$A$57,"&gt;="&amp;$B7,Weekly!$A$5:$A$57,"&lt;="&amp;EOMONTH($B7,0))</f>
        <v/>
      </c>
      <c r="D7" s="10">
        <f>SUMIFS(Weekly!$C$5:$C$57,Weekly!$A$5:$A$57,"&gt;="&amp;$B7,Weekly!$A$5:$A$57,"&lt;="&amp;EOMONTH($B7,0))</f>
        <v/>
      </c>
      <c r="E7" s="6">
        <f>C7+D7</f>
        <v/>
      </c>
      <c r="F7" s="10">
        <f>SUMIFS(Weekly!$E$5:$E$57,Weekly!$A$5:$A$57,"&gt;="&amp;$B7,Weekly!$A$5:$A$57,"&lt;="&amp;EOMONTH($B7,0))</f>
        <v/>
      </c>
      <c r="G7" s="6">
        <f>E7-F7</f>
        <v/>
      </c>
    </row>
    <row r="8">
      <c r="A8" s="11" t="n">
        <v>46113</v>
      </c>
      <c r="B8" s="12" t="n">
        <v>46113</v>
      </c>
      <c r="C8" s="13">
        <f>SUMIFS(Weekly!$B$5:$B$57,Weekly!$A$5:$A$57,"&gt;="&amp;$B8,Weekly!$A$5:$A$57,"&lt;="&amp;EOMONTH($B8,0))</f>
        <v/>
      </c>
      <c r="D8" s="13">
        <f>SUMIFS(Weekly!$C$5:$C$57,Weekly!$A$5:$A$57,"&gt;="&amp;$B8,Weekly!$A$5:$A$57,"&lt;="&amp;EOMONTH($B8,0))</f>
        <v/>
      </c>
      <c r="E8" s="14">
        <f>C8+D8</f>
        <v/>
      </c>
      <c r="F8" s="13">
        <f>SUMIFS(Weekly!$E$5:$E$57,Weekly!$A$5:$A$57,"&gt;="&amp;$B8,Weekly!$A$5:$A$57,"&lt;="&amp;EOMONTH($B8,0))</f>
        <v/>
      </c>
      <c r="G8" s="14">
        <f>E8-F8</f>
        <v/>
      </c>
    </row>
    <row r="9">
      <c r="A9" s="9" t="n">
        <v>46143</v>
      </c>
      <c r="B9" s="4" t="n">
        <v>46143</v>
      </c>
      <c r="C9" s="10">
        <f>SUMIFS(Weekly!$B$5:$B$57,Weekly!$A$5:$A$57,"&gt;="&amp;$B9,Weekly!$A$5:$A$57,"&lt;="&amp;EOMONTH($B9,0))</f>
        <v/>
      </c>
      <c r="D9" s="10">
        <f>SUMIFS(Weekly!$C$5:$C$57,Weekly!$A$5:$A$57,"&gt;="&amp;$B9,Weekly!$A$5:$A$57,"&lt;="&amp;EOMONTH($B9,0))</f>
        <v/>
      </c>
      <c r="E9" s="6">
        <f>C9+D9</f>
        <v/>
      </c>
      <c r="F9" s="10">
        <f>SUMIFS(Weekly!$E$5:$E$57,Weekly!$A$5:$A$57,"&gt;="&amp;$B9,Weekly!$A$5:$A$57,"&lt;="&amp;EOMONTH($B9,0))</f>
        <v/>
      </c>
      <c r="G9" s="6">
        <f>E9-F9</f>
        <v/>
      </c>
    </row>
    <row r="10">
      <c r="A10" s="11" t="n">
        <v>46174</v>
      </c>
      <c r="B10" s="12" t="n">
        <v>46174</v>
      </c>
      <c r="C10" s="13">
        <f>SUMIFS(Weekly!$B$5:$B$57,Weekly!$A$5:$A$57,"&gt;="&amp;$B10,Weekly!$A$5:$A$57,"&lt;="&amp;EOMONTH($B10,0))</f>
        <v/>
      </c>
      <c r="D10" s="13">
        <f>SUMIFS(Weekly!$C$5:$C$57,Weekly!$A$5:$A$57,"&gt;="&amp;$B10,Weekly!$A$5:$A$57,"&lt;="&amp;EOMONTH($B10,0))</f>
        <v/>
      </c>
      <c r="E10" s="14">
        <f>C10+D10</f>
        <v/>
      </c>
      <c r="F10" s="13">
        <f>SUMIFS(Weekly!$E$5:$E$57,Weekly!$A$5:$A$57,"&gt;="&amp;$B10,Weekly!$A$5:$A$57,"&lt;="&amp;EOMONTH($B10,0))</f>
        <v/>
      </c>
      <c r="G10" s="14">
        <f>E10-F10</f>
        <v/>
      </c>
    </row>
    <row r="11">
      <c r="A11" s="9" t="n">
        <v>46204</v>
      </c>
      <c r="B11" s="4" t="n">
        <v>46204</v>
      </c>
      <c r="C11" s="10">
        <f>SUMIFS(Weekly!$B$5:$B$57,Weekly!$A$5:$A$57,"&gt;="&amp;$B11,Weekly!$A$5:$A$57,"&lt;="&amp;EOMONTH($B11,0))</f>
        <v/>
      </c>
      <c r="D11" s="10">
        <f>SUMIFS(Weekly!$C$5:$C$57,Weekly!$A$5:$A$57,"&gt;="&amp;$B11,Weekly!$A$5:$A$57,"&lt;="&amp;EOMONTH($B11,0))</f>
        <v/>
      </c>
      <c r="E11" s="6">
        <f>C11+D11</f>
        <v/>
      </c>
      <c r="F11" s="10">
        <f>SUMIFS(Weekly!$E$5:$E$57,Weekly!$A$5:$A$57,"&gt;="&amp;$B11,Weekly!$A$5:$A$57,"&lt;="&amp;EOMONTH($B11,0))</f>
        <v/>
      </c>
      <c r="G11" s="6">
        <f>E11-F11</f>
        <v/>
      </c>
    </row>
    <row r="12">
      <c r="A12" s="11" t="n">
        <v>46235</v>
      </c>
      <c r="B12" s="12" t="n">
        <v>46235</v>
      </c>
      <c r="C12" s="13">
        <f>SUMIFS(Weekly!$B$5:$B$57,Weekly!$A$5:$A$57,"&gt;="&amp;$B12,Weekly!$A$5:$A$57,"&lt;="&amp;EOMONTH($B12,0))</f>
        <v/>
      </c>
      <c r="D12" s="13">
        <f>SUMIFS(Weekly!$C$5:$C$57,Weekly!$A$5:$A$57,"&gt;="&amp;$B12,Weekly!$A$5:$A$57,"&lt;="&amp;EOMONTH($B12,0))</f>
        <v/>
      </c>
      <c r="E12" s="14">
        <f>C12+D12</f>
        <v/>
      </c>
      <c r="F12" s="13">
        <f>SUMIFS(Weekly!$E$5:$E$57,Weekly!$A$5:$A$57,"&gt;="&amp;$B12,Weekly!$A$5:$A$57,"&lt;="&amp;EOMONTH($B12,0))</f>
        <v/>
      </c>
      <c r="G12" s="14">
        <f>E12-F12</f>
        <v/>
      </c>
    </row>
    <row r="13">
      <c r="A13" s="9" t="n">
        <v>46266</v>
      </c>
      <c r="B13" s="4" t="n">
        <v>46266</v>
      </c>
      <c r="C13" s="10">
        <f>SUMIFS(Weekly!$B$5:$B$57,Weekly!$A$5:$A$57,"&gt;="&amp;$B13,Weekly!$A$5:$A$57,"&lt;="&amp;EOMONTH($B13,0))</f>
        <v/>
      </c>
      <c r="D13" s="10">
        <f>SUMIFS(Weekly!$C$5:$C$57,Weekly!$A$5:$A$57,"&gt;="&amp;$B13,Weekly!$A$5:$A$57,"&lt;="&amp;EOMONTH($B13,0))</f>
        <v/>
      </c>
      <c r="E13" s="6">
        <f>C13+D13</f>
        <v/>
      </c>
      <c r="F13" s="10">
        <f>SUMIFS(Weekly!$E$5:$E$57,Weekly!$A$5:$A$57,"&gt;="&amp;$B13,Weekly!$A$5:$A$57,"&lt;="&amp;EOMONTH($B13,0))</f>
        <v/>
      </c>
      <c r="G13" s="6">
        <f>E13-F13</f>
        <v/>
      </c>
    </row>
    <row r="14">
      <c r="A14" s="11" t="n">
        <v>46296</v>
      </c>
      <c r="B14" s="12" t="n">
        <v>46296</v>
      </c>
      <c r="C14" s="13">
        <f>SUMIFS(Weekly!$B$5:$B$57,Weekly!$A$5:$A$57,"&gt;="&amp;$B14,Weekly!$A$5:$A$57,"&lt;="&amp;EOMONTH($B14,0))</f>
        <v/>
      </c>
      <c r="D14" s="13">
        <f>SUMIFS(Weekly!$C$5:$C$57,Weekly!$A$5:$A$57,"&gt;="&amp;$B14,Weekly!$A$5:$A$57,"&lt;="&amp;EOMONTH($B14,0))</f>
        <v/>
      </c>
      <c r="E14" s="14">
        <f>C14+D14</f>
        <v/>
      </c>
      <c r="F14" s="13">
        <f>SUMIFS(Weekly!$E$5:$E$57,Weekly!$A$5:$A$57,"&gt;="&amp;$B14,Weekly!$A$5:$A$57,"&lt;="&amp;EOMONTH($B14,0))</f>
        <v/>
      </c>
      <c r="G14" s="14">
        <f>E14-F14</f>
        <v/>
      </c>
    </row>
    <row r="15">
      <c r="A15" s="9" t="n">
        <v>46327</v>
      </c>
      <c r="B15" s="4" t="n">
        <v>46327</v>
      </c>
      <c r="C15" s="10">
        <f>SUMIFS(Weekly!$B$5:$B$57,Weekly!$A$5:$A$57,"&gt;="&amp;$B15,Weekly!$A$5:$A$57,"&lt;="&amp;EOMONTH($B15,0))</f>
        <v/>
      </c>
      <c r="D15" s="10">
        <f>SUMIFS(Weekly!$C$5:$C$57,Weekly!$A$5:$A$57,"&gt;="&amp;$B15,Weekly!$A$5:$A$57,"&lt;="&amp;EOMONTH($B15,0))</f>
        <v/>
      </c>
      <c r="E15" s="6">
        <f>C15+D15</f>
        <v/>
      </c>
      <c r="F15" s="10">
        <f>SUMIFS(Weekly!$E$5:$E$57,Weekly!$A$5:$A$57,"&gt;="&amp;$B15,Weekly!$A$5:$A$57,"&lt;="&amp;EOMONTH($B15,0))</f>
        <v/>
      </c>
      <c r="G15" s="6">
        <f>E15-F15</f>
        <v/>
      </c>
    </row>
    <row r="16">
      <c r="A16" s="11" t="n">
        <v>46357</v>
      </c>
      <c r="B16" s="12" t="n">
        <v>46357</v>
      </c>
      <c r="C16" s="13">
        <f>SUMIFS(Weekly!$B$5:$B$57,Weekly!$A$5:$A$57,"&gt;="&amp;$B16,Weekly!$A$5:$A$57,"&lt;="&amp;EOMONTH($B16,0))</f>
        <v/>
      </c>
      <c r="D16" s="13">
        <f>SUMIFS(Weekly!$C$5:$C$57,Weekly!$A$5:$A$57,"&gt;="&amp;$B16,Weekly!$A$5:$A$57,"&lt;="&amp;EOMONTH($B16,0))</f>
        <v/>
      </c>
      <c r="E16" s="14">
        <f>C16+D16</f>
        <v/>
      </c>
      <c r="F16" s="13">
        <f>SUMIFS(Weekly!$E$5:$E$57,Weekly!$A$5:$A$57,"&gt;="&amp;$B16,Weekly!$A$5:$A$57,"&lt;="&amp;EOMONTH($B16,0))</f>
        <v/>
      </c>
      <c r="G16" s="14">
        <f>E16-F16</f>
        <v/>
      </c>
    </row>
    <row r="17">
      <c r="A17" s="7" t="inlineStr">
        <is>
          <t>YEAR TOTAL</t>
        </is>
      </c>
      <c r="B17" s="7" t="n"/>
      <c r="C17" s="8">
        <f>SUM(C5:C16)</f>
        <v/>
      </c>
      <c r="D17" s="8">
        <f>SUM(D5:D16)</f>
        <v/>
      </c>
      <c r="E17" s="8">
        <f>SUM(E5:E16)</f>
        <v/>
      </c>
      <c r="F17" s="8">
        <f>SUM(F5:F16)</f>
        <v/>
      </c>
      <c r="G17" s="8">
        <f>E17-F17</f>
        <v/>
      </c>
    </row>
    <row r="19">
      <c r="A19" s="2" t="inlineStr">
        <is>
          <t>A week counts toward the month its Monday falls in. Rename your two income sources in row 4 of the Weekly tab — this tab follows.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2026-08-06T03:00:37Z</dcterms:created>
  <dcterms:modified xsi:type="dcterms:W3CDTF">2026-08-06T03:00:37Z</dcterms:modified>
</cp:coreProperties>
</file>